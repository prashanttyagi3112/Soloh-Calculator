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y Package - Rate Calculator" sheetId="1" state="visible" r:id="rId3"/>
    <sheet name="Lists" sheetId="2" state="hidden" r:id="rId4"/>
    <sheet name="Macro Setup" sheetId="3" state="visible" r:id="rId5"/>
    <sheet name="Macro Code" sheetId="4" state="visible" r:id="rId6"/>
  </sheets>
  <definedNames>
    <definedName function="false" hidden="false" localSheetId="0" name="_xlnm.Print_Area" vbProcedure="false">'Pay Package - Rate Calculator'!$A$1:$R$32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<sst xmlns="http://schemas.openxmlformats.org/spreadsheetml/2006/main" count="186" uniqueCount="172">
  <si>
    <t xml:space="preserve">Soloh Travel Pay Package Calculator v1.1   |   18% Load on W2 · No Onboarding Cost · 18% Desired GP</t>
  </si>
  <si>
    <t xml:space="preserve">Enter the below information</t>
  </si>
  <si>
    <t xml:space="preserve">(Enter details in YELLOW cells)</t>
  </si>
  <si>
    <t xml:space="preserve">Financial Summary</t>
  </si>
  <si>
    <t xml:space="preserve">Pay Package Confirmation</t>
  </si>
  <si>
    <t xml:space="preserve">Client Details</t>
  </si>
  <si>
    <t xml:space="preserve">Candidate Pay Details</t>
  </si>
  <si>
    <t xml:space="preserve">Financial Performance</t>
  </si>
  <si>
    <t xml:space="preserve">Client Name</t>
  </si>
  <si>
    <t xml:space="preserve">&lt;Enter Client Name&gt;</t>
  </si>
  <si>
    <t xml:space="preserve">Engagement Type (New or Extension?)</t>
  </si>
  <si>
    <t xml:space="preserve">New</t>
  </si>
  <si>
    <t xml:space="preserve">Hourly Net Margin</t>
  </si>
  <si>
    <t xml:space="preserve">MSP/VMS Fee %</t>
  </si>
  <si>
    <t xml:space="preserve">W2 Pay Rate RT (Regular Time)</t>
  </si>
  <si>
    <t xml:space="preserve">Net Margin Percentage</t>
  </si>
  <si>
    <t xml:space="preserve">Incremental Recruiting Costs</t>
  </si>
  <si>
    <t xml:space="preserve">None</t>
  </si>
  <si>
    <t xml:space="preserve">W2 Pay Rate OT (Over Time)   = 1.5 * W2 Pay Rate RT</t>
  </si>
  <si>
    <t xml:space="preserve">Meets 18% Desired GP?</t>
  </si>
  <si>
    <t xml:space="preserve">Submission Details</t>
  </si>
  <si>
    <t xml:space="preserve">Weekly Per Diem</t>
  </si>
  <si>
    <t xml:space="preserve">Weekly</t>
  </si>
  <si>
    <t xml:space="preserve">Project</t>
  </si>
  <si>
    <t xml:space="preserve">Pending client acceptance</t>
  </si>
  <si>
    <t xml:space="preserve">Client Bill Details</t>
  </si>
  <si>
    <t xml:space="preserve">W2 Pay Rate Holiday</t>
  </si>
  <si>
    <t xml:space="preserve">+ Revenue (RT)</t>
  </si>
  <si>
    <t xml:space="preserve">Bill Rate RT (Regular Time)</t>
  </si>
  <si>
    <t xml:space="preserve">W2 Pay Rate RT USED (auto if Target NM $ set)</t>
  </si>
  <si>
    <t xml:space="preserve">+ Revenue (OT)</t>
  </si>
  <si>
    <t xml:space="preserve">Client Contract Details</t>
  </si>
  <si>
    <t xml:space="preserve">Bill Rate OT (Over Time)  – 0 = auto</t>
  </si>
  <si>
    <t xml:space="preserve">- W2 Hourly Comp (RT)</t>
  </si>
  <si>
    <t xml:space="preserve">Contract duration in weeks</t>
  </si>
  <si>
    <t xml:space="preserve">Bill Rate Holiday</t>
  </si>
  <si>
    <t xml:space="preserve">OT Pay Rate – enter if not 1.5 × RT (0 = 1.5×)</t>
  </si>
  <si>
    <t xml:space="preserve">- W2 Hourly Comp (OT)</t>
  </si>
  <si>
    <t xml:space="preserve">Expected hours per week</t>
  </si>
  <si>
    <t xml:space="preserve">Bill Rate OT USED</t>
  </si>
  <si>
    <t xml:space="preserve">- Bonus / Reimbursement (W2)</t>
  </si>
  <si>
    <t xml:space="preserve">Expected hours per shift</t>
  </si>
  <si>
    <t xml:space="preserve">OT Policy (Client)</t>
  </si>
  <si>
    <t xml:space="preserve">- Per Diem: Non W2 Comp</t>
  </si>
  <si>
    <t xml:space="preserve">Client bills OT?   (Yes/No)</t>
  </si>
  <si>
    <t xml:space="preserve">No</t>
  </si>
  <si>
    <t xml:space="preserve">Bonus / Reimbursement (W2)</t>
  </si>
  <si>
    <t xml:space="preserve"> = Gross Margin</t>
  </si>
  <si>
    <t xml:space="preserve">Hourly Pay Rate</t>
  </si>
  <si>
    <t xml:space="preserve">OT Multiplier - Client Bill Rate</t>
  </si>
  <si>
    <t xml:space="preserve">No OT (straight)</t>
  </si>
  <si>
    <t xml:space="preserve">Bonus / Reimbursement (total for contract)</t>
  </si>
  <si>
    <t xml:space="preserve">When does Client Start to pay OT</t>
  </si>
  <si>
    <t xml:space="preserve">OT after 40 hrs</t>
  </si>
  <si>
    <t xml:space="preserve">- MSP/VMS Fee</t>
  </si>
  <si>
    <t xml:space="preserve">W2 Pay Rate OT (Over Time)</t>
  </si>
  <si>
    <t xml:space="preserve">- Payroll Load / Overhead Brdn (18% on W2)</t>
  </si>
  <si>
    <t xml:space="preserve">- Incremental Recruiting + Onboarding</t>
  </si>
  <si>
    <t xml:space="preserve">Weekly Pay Package (Taxable + Nontaxable)</t>
  </si>
  <si>
    <t xml:space="preserve">SAMPLE VALUES ONLY – replace all yellow cells</t>
  </si>
  <si>
    <t xml:space="preserve">- Orientation (non-billable hrs)</t>
  </si>
  <si>
    <t xml:space="preserve"> &gt; W2 Wage (RT+OT based on expected hrs)</t>
  </si>
  <si>
    <t xml:space="preserve"> = Net Margin</t>
  </si>
  <si>
    <t xml:space="preserve"> &gt; Nontaxable Weekly PerDiem</t>
  </si>
  <si>
    <t xml:space="preserve">Total Weekly Gross Pay Package</t>
  </si>
  <si>
    <t xml:space="preserve">Who pays for orientation?</t>
  </si>
  <si>
    <t xml:space="preserve">Soloh</t>
  </si>
  <si>
    <t xml:space="preserve">Offer Guidance – to hit Desired GP</t>
  </si>
  <si>
    <t xml:space="preserve"> &gt; One-time Bonus / Reimbursement (total)</t>
  </si>
  <si>
    <t xml:space="preserve"> - -&gt; Non-billable orientation hours</t>
  </si>
  <si>
    <t xml:space="preserve">Max Weekly Per Diem  (change | max)</t>
  </si>
  <si>
    <t xml:space="preserve">Max W2 RT Rate  (change | max)</t>
  </si>
  <si>
    <t xml:space="preserve">Additional Details (If any)</t>
  </si>
  <si>
    <t xml:space="preserve">Version: Soloh Travel Pay Package Calculator v1.1 (18-18)</t>
  </si>
  <si>
    <t xml:space="preserve">Target Net Margin $  (target | gap)</t>
  </si>
  <si>
    <t xml:space="preserve">Reset / PDF buttons: see the Macro Setup tab. Sheet password: soloh</t>
  </si>
  <si>
    <t xml:space="preserve">Admin Use Only</t>
  </si>
  <si>
    <t xml:space="preserve">Payroll Load on W2 (Taxes + Overhead) – W2 only  [LOCKED]</t>
  </si>
  <si>
    <t xml:space="preserve">Onboarding / Credentialing Cost</t>
  </si>
  <si>
    <t xml:space="preserve">Desired GP / Net Margin %</t>
  </si>
  <si>
    <t xml:space="preserve">Target Net Margin $ (auto-sets W2 RT; 0 = off)</t>
  </si>
  <si>
    <t xml:space="preserve">Yes</t>
  </si>
  <si>
    <t xml:space="preserve">Client</t>
  </si>
  <si>
    <t xml:space="preserve">Extension</t>
  </si>
  <si>
    <t xml:space="preserve">1.25 times RT</t>
  </si>
  <si>
    <t xml:space="preserve">OT after 48 hrs</t>
  </si>
  <si>
    <t xml:space="preserve">Vivian Cost $500</t>
  </si>
  <si>
    <t xml:space="preserve">1.3 times RT</t>
  </si>
  <si>
    <t xml:space="preserve">Job Boards $1,200</t>
  </si>
  <si>
    <t xml:space="preserve">1.5 times RT</t>
  </si>
  <si>
    <t xml:space="preserve">Other</t>
  </si>
  <si>
    <t xml:space="preserve">Soloh Travel Pay Package Calculator v1.0 – Add Clear/Reset + Save PDF buttons (one-time, ~2 minutes)</t>
  </si>
  <si>
    <t xml:space="preserve">Optional. The calculator works fully without macros. Do this once in desktop Excel, then share the .xlsm version.</t>
  </si>
  <si>
    <t xml:space="preserve">Step</t>
  </si>
  <si>
    <t xml:space="preserve">What to do</t>
  </si>
  <si>
    <t xml:space="preserve">1</t>
  </si>
  <si>
    <t xml:space="preserve">Open this workbook in desktop Excel (Windows or Mac).</t>
  </si>
  <si>
    <t xml:space="preserve">2</t>
  </si>
  <si>
    <t xml:space="preserve">Press Alt + F11 (Mac: Option + F11, or Tools &gt; Macro &gt; Visual Basic Editor).</t>
  </si>
  <si>
    <t xml:space="preserve">3</t>
  </si>
  <si>
    <t xml:space="preserve">In the VBA window: Insert &gt; Module.</t>
  </si>
  <si>
    <t xml:space="preserve">4</t>
  </si>
  <si>
    <t xml:space="preserve">Go to the 'Macro Code' tab in this workbook, select cells A3 down to the last line of code (click A3, then Ctrl+Shift+Down), Copy (Ctrl+C).</t>
  </si>
  <si>
    <t xml:space="preserve">5</t>
  </si>
  <si>
    <t xml:space="preserve">Click inside the empty Module window in VBA and Paste (Ctrl+V). Close the VBA window.</t>
  </si>
  <si>
    <t xml:space="preserve">6</t>
  </si>
  <si>
    <t xml:space="preserve">On the calculator tab: Review &gt; Unprotect Sheet &gt; password: soloh</t>
  </si>
  <si>
    <t xml:space="preserve">7</t>
  </si>
  <si>
    <t xml:space="preserve">Developer &gt; Insert &gt; Button (Form Control). No Developer tab? File &gt; Options &gt; Customize Ribbon &gt; tick 'Developer'.</t>
  </si>
  <si>
    <t xml:space="preserve">8</t>
  </si>
  <si>
    <t xml:space="preserve">Draw the button near the top-left (B3 area) &gt; select macro 'ResetCalculator' &gt; OK &gt; right-click button &gt; Edit Text &gt; 'Clear / Reset'.</t>
  </si>
  <si>
    <t xml:space="preserve">9</t>
  </si>
  <si>
    <t xml:space="preserve">Add a second button next to it &gt; macro 'SaveOfferAsPDF' &gt; text 'Save Offer PDF'.</t>
  </si>
  <si>
    <t xml:space="preserve">10</t>
  </si>
  <si>
    <t xml:space="preserve">Review &gt; Protect Sheet &gt; password: soloh</t>
  </si>
  <si>
    <t xml:space="preserve">11</t>
  </si>
  <si>
    <t xml:space="preserve">File &gt; Save As &gt; 'Excel Macro-Enabled Workbook (*.xlsm)' &gt; name: Soloh_Travel_Pay_Package_Calculator_v1.1_18Load-18GP.xlsm</t>
  </si>
  <si>
    <t xml:space="preserve">12</t>
  </si>
  <si>
    <t xml:space="preserve">Share the .xlsm with recruiters – they click 'Enable Content' when opening. Keep this .xlsx as the no-macro master copy.</t>
  </si>
  <si>
    <t xml:space="preserve">What the buttons do</t>
  </si>
  <si>
    <t xml:space="preserve">• Clear / Reset – asks to confirm, then sets every YELLOW cell back to blank/placeholder (MSP 6%, 13 wks, 36 hrs, 12-hr shift, 12 orientation hrs, 'Soloh' pays orientation, $0 bonus). Admin settings (18% load, $0 onboarding, 18% GP) are NOT changed.</t>
  </si>
  <si>
    <t xml:space="preserve">• Save Offer PDF – saves the calculator page as a one-page PDF named Soloh_PayPackage_&lt;Client&gt;_&lt;date_time&gt;.pdf in the same folder as the workbook, and opens it.</t>
  </si>
  <si>
    <t xml:space="preserve">• Macro names to pick when assigning buttons: ResetCalculator  and  SaveOfferAsPDF</t>
  </si>
  <si>
    <t xml:space="preserve">VBA code – copy cells A3 to the last line and paste into a new Module (Alt+F11 &gt; Insert &gt; Module). Do not edit.</t>
  </si>
  <si>
    <t xml:space="preserve">' Soloh Travel Pay Package Calculator v1.1 - Reset and Save-as-PDF macros</t>
  </si>
  <si>
    <t xml:space="preserve">Option Explicit</t>
  </si>
  <si>
    <t xml:space="preserve">Private Const SHEET_NAME As String = "Pay Package - Rate Calculator"</t>
  </si>
  <si>
    <t xml:space="preserve">Private Const PWD As String = "soloh"</t>
  </si>
  <si>
    <t xml:space="preserve">Public Sub ResetCalculator()</t>
  </si>
  <si>
    <t xml:space="preserve">    Dim ws As Worksheet</t>
  </si>
  <si>
    <t xml:space="preserve">    Set ws = ThisWorkbook.Worksheets(SHEET_NAME)</t>
  </si>
  <si>
    <t xml:space="preserve">    If MsgBox("Clear all entries and reset the calculator?", vbYesNo + vbQuestion, "Reset Calculator") &lt;&gt; vbYes Then Exit Sub</t>
  </si>
  <si>
    <t xml:space="preserve">    ws.Unprotect PWD</t>
  </si>
  <si>
    <t xml:space="preserve">    ' Client details</t>
  </si>
  <si>
    <t xml:space="preserve">    ws.Range("C6").Value = "&lt;Enter Client Name&gt;"</t>
  </si>
  <si>
    <t xml:space="preserve">    ws.Range("C7").Value = 0.06</t>
  </si>
  <si>
    <t xml:space="preserve">    ws.Range("D8").Value = "None"</t>
  </si>
  <si>
    <t xml:space="preserve">    ' Bill and pay</t>
  </si>
  <si>
    <t xml:space="preserve">    ws.Range("D11").Value = 0</t>
  </si>
  <si>
    <t xml:space="preserve">    ws.Range("D12").Value = 0   ' Bill Rate OT (0 = auto)</t>
  </si>
  <si>
    <t xml:space="preserve">    ws.Range("D13").Value = 0</t>
  </si>
  <si>
    <t xml:space="preserve">    ws.Range("H6").Value = "New"</t>
  </si>
  <si>
    <t xml:space="preserve">    ws.Range("H7").Value = 0</t>
  </si>
  <si>
    <t xml:space="preserve">    ws.Range("H9").Value = 0</t>
  </si>
  <si>
    <t xml:space="preserve">    ws.Range("H10").Value = 0</t>
  </si>
  <si>
    <t xml:space="preserve">    ' OT policy</t>
  </si>
  <si>
    <t xml:space="preserve">    ws.Range("D16").Value = "No"</t>
  </si>
  <si>
    <t xml:space="preserve">    ws.Range("D17").Value = "No OT (straight)"</t>
  </si>
  <si>
    <t xml:space="preserve">    ws.Range("D18").Value = "OT after 40 hrs"</t>
  </si>
  <si>
    <t xml:space="preserve">    ws.Range("H13").Value = 0</t>
  </si>
  <si>
    <t xml:space="preserve">    ' Contract details</t>
  </si>
  <si>
    <t xml:space="preserve">    ws.Range("D21").Value = 13</t>
  </si>
  <si>
    <t xml:space="preserve">    ws.Range("D22").Value = 36</t>
  </si>
  <si>
    <t xml:space="preserve">    ws.Range("D23").Value = 12</t>
  </si>
  <si>
    <t xml:space="preserve">    ws.Range("D24").Value = "Soloh"</t>
  </si>
  <si>
    <t xml:space="preserve">    ws.Range("D25").Value = 12</t>
  </si>
  <si>
    <t xml:space="preserve">    ' Bonus / reimbursement and notes</t>
  </si>
  <si>
    <t xml:space="preserve">    ws.Range("H17").Value = 0</t>
  </si>
  <si>
    <t xml:space="preserve">    ws.Range("O27").Value = ""</t>
  </si>
  <si>
    <t xml:space="preserve">    ws.Range("L32").Value = 0   ' Target Net Margin $ off</t>
  </si>
  <si>
    <t xml:space="preserve">    ws.Protect PWD, DrawingObjects:=False, Contents:=True, Scenarios:=True</t>
  </si>
  <si>
    <t xml:space="preserve">    ws.Range("C6").Select</t>
  </si>
  <si>
    <t xml:space="preserve">End Sub</t>
  </si>
  <si>
    <t xml:space="preserve">Public Sub SaveOfferAsPDF()</t>
  </si>
  <si>
    <t xml:space="preserve">    Dim ws As Worksheet, f As String, nm As String</t>
  </si>
  <si>
    <t xml:space="preserve">    nm = Trim(ws.Range("C6").Value)</t>
  </si>
  <si>
    <t xml:space="preserve">    If nm = "" Or Left(nm, 1) = "&lt;" Then nm = "Client"</t>
  </si>
  <si>
    <t xml:space="preserve">    f = ThisWorkbook.Path</t>
  </si>
  <si>
    <t xml:space="preserve">    If f = "" Then f = Environ("USERPROFILE") &amp; "\Documents"</t>
  </si>
  <si>
    <t xml:space="preserve">    f = f &amp; Application.PathSeparator &amp; "Soloh_PayPackage_" &amp; Replace(nm, " ", "_") &amp; "_" &amp; Format(Now, "yyyy-mm-dd_hhmm") &amp; ".pdf"</t>
  </si>
  <si>
    <t xml:space="preserve">    ws.ExportAsFixedFormat Type:=xlTypePDF, Filename:=f, Quality:=xlQualityStandard, IncludeDocProperties:=True, IgnorePrintAreas:=False, OpenAfterPublish:=True</t>
  </si>
  <si>
    <t xml:space="preserve">    MsgBox "PDF saved:" &amp; vbCrLf &amp; f, vbInformation, "Saved"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</si>
</sst>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(\$* #,##0.00_);_(\$* \(#,##0.00\);_(\$* \-??_);_(@_)"/>
    <numFmt numFmtId="166" formatCode="0.0%"/>
    <numFmt numFmtId="167" formatCode="0.0%;[RED]\-0.0%"/>
    <numFmt numFmtId="168" formatCode="_(\$* #,##0_);_(\$* \(#,##0\);_(\$* \-??_);_(@_)"/>
    <numFmt numFmtId="169" formatCode="0"/>
    <numFmt numFmtId="170" formatCode="@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F3864"/>
      <name val="Calibri"/>
      <family val="0"/>
      <charset val="1"/>
    </font>
    <font>
      <b val="true"/>
      <sz val="14"/>
      <color rgb="FF000000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9"/>
      <color rgb="FF808080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b val="true"/>
      <sz val="14"/>
      <color rgb="FF1F3864"/>
      <name val="Calibri"/>
      <family val="0"/>
      <charset val="1"/>
    </font>
    <font>
      <i val="true"/>
      <sz val="10"/>
      <color rgb="FF555555"/>
      <name val="Calibri"/>
      <family val="0"/>
      <charset val="1"/>
    </font>
    <font>
      <sz val="11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1"/>
      <color rgb="FFC00000"/>
      <name val="Calibri"/>
      <family val="0"/>
      <charset val="1"/>
    </font>
    <font>
      <sz val="10"/>
      <color rgb="FF008000"/>
      <name val="Consolas"/>
      <family val="0"/>
      <charset val="1"/>
    </font>
    <font>
      <sz val="10"/>
      <color rgb="FF000000"/>
      <name val="Consolas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4C6E7"/>
        <bgColor rgb="FF99CCFF"/>
      </patternFill>
    </fill>
    <fill>
      <patternFill patternType="solid">
        <fgColor rgb="FFC6E0B4"/>
        <bgColor rgb="FFC6EFCE"/>
      </patternFill>
    </fill>
    <fill>
      <patternFill patternType="solid">
        <fgColor rgb="FF333F4F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F4B183"/>
        <bgColor rgb="FFFFC7CE"/>
      </patternFill>
    </fill>
    <fill>
      <patternFill patternType="solid">
        <fgColor rgb="FFFFFFCC"/>
        <bgColor rgb="FFFFFFFF"/>
      </patternFill>
    </fill>
    <fill>
      <patternFill patternType="solid">
        <fgColor rgb="FFE4DFEC"/>
        <bgColor rgb="FFD9D9D9"/>
      </patternFill>
    </fill>
    <fill>
      <patternFill patternType="solid">
        <fgColor rgb="FFD9D9D9"/>
        <bgColor rgb="FFE4DFEC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>
        <color rgb="FF808080"/>
      </bottom>
      <diagonal/>
    </border>
    <border diagonalUp="false" diagonalDown="false">
      <left style="medium"/>
      <right style="thin">
        <color rgb="FF808080"/>
      </right>
      <top style="medium"/>
      <bottom style="thin">
        <color rgb="FF808080"/>
      </bottom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medium"/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 style="thin">
        <color rgb="FF808080"/>
      </top>
      <bottom style="thin">
        <color rgb="FF808080"/>
      </bottom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n">
        <color rgb="FF808080"/>
      </right>
      <top style="thin">
        <color rgb="FF808080"/>
      </top>
      <bottom style="medium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medium"/>
      <diagonal/>
    </border>
    <border diagonalUp="false" diagonalDown="false">
      <left style="thin">
        <color rgb="FF808080"/>
      </left>
      <right style="medium"/>
      <top style="thin">
        <color rgb="FF808080"/>
      </top>
      <bottom style="medium"/>
      <diagonal/>
    </border>
    <border diagonalUp="false" diagonalDown="false">
      <left style="medium"/>
      <right style="medium"/>
      <top style="thin">
        <color rgb="FF808080"/>
      </top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0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6" borderId="6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5" fontId="10" fillId="6" borderId="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7" fontId="11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0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8" borderId="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8" fontId="10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9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5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3" fillId="5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3" fillId="5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8" borderId="1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9" fontId="10" fillId="6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1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0" fillId="6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5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8" borderId="1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6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1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8" borderId="15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10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10" fillId="6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2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8" borderId="1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E4DFE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0B4"/>
      <rgbColor rgb="FFC6EFCE"/>
      <rgbColor rgb="FFFFFF99"/>
      <rgbColor rgb="FF99CCFF"/>
      <rgbColor rgb="FFF4B183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3"/>
    <col collapsed="false" customWidth="true" hidden="false" outlineLevel="0" max="6" min="6" style="0" width="34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3"/>
    <col collapsed="false" customWidth="true" hidden="false" outlineLevel="0" max="10" min="10" style="0" width="30"/>
    <col collapsed="false" customWidth="true" hidden="false" outlineLevel="0" max="11" min="11" style="0" width="14"/>
    <col collapsed="false" customWidth="true" hidden="false" outlineLevel="0" max="13" min="12" style="0" width="15"/>
    <col collapsed="false" customWidth="true" hidden="false" outlineLevel="0" max="14" min="14" style="0" width="3"/>
    <col collapsed="false" customWidth="true" hidden="false" outlineLevel="0" max="15" min="15" style="0" width="24"/>
    <col collapsed="false" customWidth="true" hidden="false" outlineLevel="0" max="16" min="16" style="0" width="10"/>
    <col collapsed="false" customWidth="true" hidden="false" outlineLevel="0" max="17" min="17" style="0" width="12"/>
    <col collapsed="false" customWidth="true" hidden="false" outlineLevel="0" max="18" min="18" style="0" width="16"/>
  </cols>
  <sheetData>
    <row r="1" customFormat="false" ht="16.5" hidden="false" customHeight="true" outlineLevel="0" collapsed="false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customFormat="false" ht="16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customFormat="false" ht="24" hidden="false" customHeight="true" outlineLevel="0" collapsed="false">
      <c r="A3" s="1"/>
      <c r="B3" s="3" t="s">
        <v>1</v>
      </c>
      <c r="C3" s="1"/>
      <c r="D3" s="1"/>
      <c r="E3" s="4" t="s">
        <v>2</v>
      </c>
      <c r="F3" s="1"/>
      <c r="G3" s="1"/>
      <c r="H3" s="1"/>
      <c r="I3" s="1"/>
      <c r="J3" s="5" t="s">
        <v>3</v>
      </c>
      <c r="K3" s="5"/>
      <c r="L3" s="5"/>
      <c r="M3" s="5"/>
      <c r="N3" s="1"/>
      <c r="O3" s="5" t="s">
        <v>4</v>
      </c>
      <c r="P3" s="5"/>
      <c r="Q3" s="5"/>
      <c r="R3" s="5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customFormat="false" ht="16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customFormat="false" ht="16.5" hidden="false" customHeight="true" outlineLevel="0" collapsed="false">
      <c r="A5" s="1"/>
      <c r="B5" s="6" t="s">
        <v>5</v>
      </c>
      <c r="C5" s="6"/>
      <c r="D5" s="6"/>
      <c r="E5" s="1"/>
      <c r="F5" s="7" t="s">
        <v>6</v>
      </c>
      <c r="G5" s="7"/>
      <c r="H5" s="7"/>
      <c r="I5" s="1"/>
      <c r="J5" s="8" t="s">
        <v>7</v>
      </c>
      <c r="K5" s="8"/>
      <c r="L5" s="9"/>
      <c r="M5" s="10"/>
      <c r="N5" s="1"/>
      <c r="O5" s="11" t="s">
        <v>5</v>
      </c>
      <c r="P5" s="11"/>
      <c r="Q5" s="11"/>
      <c r="R5" s="1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customFormat="false" ht="16.5" hidden="false" customHeight="true" outlineLevel="0" collapsed="false">
      <c r="A6" s="1"/>
      <c r="B6" s="12" t="s">
        <v>8</v>
      </c>
      <c r="C6" s="13" t="s">
        <v>9</v>
      </c>
      <c r="D6" s="13"/>
      <c r="E6" s="1"/>
      <c r="F6" s="12" t="s">
        <v>10</v>
      </c>
      <c r="G6" s="14"/>
      <c r="H6" s="15" t="s">
        <v>11</v>
      </c>
      <c r="I6" s="1"/>
      <c r="J6" s="16" t="s">
        <v>12</v>
      </c>
      <c r="K6" s="17" t="n">
        <f aca="false">IFERROR(M22/(D21*D22),0)</f>
        <v>13.6974358974359</v>
      </c>
      <c r="L6" s="18"/>
      <c r="M6" s="19"/>
      <c r="N6" s="1"/>
      <c r="O6" s="20" t="str">
        <f aca="false">IF(OR(C6="",LEFT(C6,1)="&lt;"),"*** Error - Must Enter Client Name","Client Name: "&amp;C6)</f>
        <v>*** Error - Must Enter Client Name</v>
      </c>
      <c r="P6" s="20"/>
      <c r="Q6" s="20"/>
      <c r="R6" s="20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customFormat="false" ht="16.5" hidden="false" customHeight="true" outlineLevel="0" collapsed="false">
      <c r="A7" s="1"/>
      <c r="B7" s="12" t="s">
        <v>13</v>
      </c>
      <c r="C7" s="21" t="n">
        <v>0.06</v>
      </c>
      <c r="D7" s="21"/>
      <c r="E7" s="1"/>
      <c r="F7" s="12" t="s">
        <v>14</v>
      </c>
      <c r="G7" s="14"/>
      <c r="H7" s="22" t="n">
        <v>30</v>
      </c>
      <c r="I7" s="1"/>
      <c r="J7" s="16" t="s">
        <v>15</v>
      </c>
      <c r="K7" s="23" t="n">
        <f aca="false">IFERROR(L22/SUM(L10:L11),0)</f>
        <v>0.152193732193732</v>
      </c>
      <c r="L7" s="18"/>
      <c r="M7" s="19"/>
      <c r="N7" s="1"/>
      <c r="O7" s="24"/>
      <c r="P7" s="18"/>
      <c r="Q7" s="18"/>
      <c r="R7" s="19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customFormat="false" ht="16.5" hidden="false" customHeight="true" outlineLevel="0" collapsed="false">
      <c r="A8" s="1"/>
      <c r="B8" s="12" t="s">
        <v>16</v>
      </c>
      <c r="C8" s="14"/>
      <c r="D8" s="25" t="s">
        <v>17</v>
      </c>
      <c r="E8" s="1"/>
      <c r="F8" s="12" t="s">
        <v>18</v>
      </c>
      <c r="G8" s="14"/>
      <c r="H8" s="26" t="n">
        <f aca="false">IF(H13&gt;0,H13,H11*1.5)</f>
        <v>45</v>
      </c>
      <c r="I8" s="1"/>
      <c r="J8" s="16" t="s">
        <v>19</v>
      </c>
      <c r="K8" s="27" t="str">
        <f aca="false">IF(K7&gt;=L31,"YES","NO")</f>
        <v>NO</v>
      </c>
      <c r="L8" s="18"/>
      <c r="M8" s="19"/>
      <c r="N8" s="1"/>
      <c r="O8" s="28" t="s">
        <v>20</v>
      </c>
      <c r="P8" s="28"/>
      <c r="Q8" s="28"/>
      <c r="R8" s="28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customFormat="false" ht="16.5" hidden="false" customHeight="true" outlineLevel="0" collapsed="false">
      <c r="A9" s="1"/>
      <c r="B9" s="24"/>
      <c r="C9" s="18"/>
      <c r="D9" s="19"/>
      <c r="E9" s="1"/>
      <c r="F9" s="12" t="s">
        <v>21</v>
      </c>
      <c r="G9" s="14"/>
      <c r="H9" s="22" t="n">
        <v>1200</v>
      </c>
      <c r="I9" s="1"/>
      <c r="J9" s="24"/>
      <c r="K9" s="18"/>
      <c r="L9" s="29" t="s">
        <v>22</v>
      </c>
      <c r="M9" s="30" t="s">
        <v>23</v>
      </c>
      <c r="N9" s="1"/>
      <c r="O9" s="31" t="s">
        <v>24</v>
      </c>
      <c r="P9" s="31"/>
      <c r="Q9" s="31"/>
      <c r="R9" s="3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customFormat="false" ht="16.5" hidden="false" customHeight="true" outlineLevel="0" collapsed="false">
      <c r="A10" s="1"/>
      <c r="B10" s="32" t="s">
        <v>25</v>
      </c>
      <c r="C10" s="32"/>
      <c r="D10" s="32"/>
      <c r="E10" s="1"/>
      <c r="F10" s="12" t="s">
        <v>26</v>
      </c>
      <c r="G10" s="14"/>
      <c r="H10" s="33" t="n">
        <v>0</v>
      </c>
      <c r="I10" s="1"/>
      <c r="J10" s="16" t="s">
        <v>27</v>
      </c>
      <c r="K10" s="16"/>
      <c r="L10" s="34" t="n">
        <f aca="false">IF(OR(D16="Yes",D12&gt;0),MIN(D22,IFERROR(INDEX(Lists!$G$1:$G$2,MATCH(D18,Lists!$F$1:$F$2,0)),40)),D22)*D11</f>
        <v>3240</v>
      </c>
      <c r="M10" s="35" t="n">
        <f aca="false">L10*$D$21</f>
        <v>42120</v>
      </c>
      <c r="N10" s="1"/>
      <c r="O10" s="24"/>
      <c r="P10" s="18"/>
      <c r="Q10" s="18"/>
      <c r="R10" s="19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customFormat="false" ht="16.5" hidden="false" customHeight="true" outlineLevel="0" collapsed="false">
      <c r="A11" s="1"/>
      <c r="B11" s="12" t="s">
        <v>28</v>
      </c>
      <c r="C11" s="14"/>
      <c r="D11" s="22" t="n">
        <v>90</v>
      </c>
      <c r="E11" s="1"/>
      <c r="F11" s="16" t="s">
        <v>29</v>
      </c>
      <c r="G11" s="14"/>
      <c r="H11" s="36" t="n">
        <f aca="false">IF($L$32&gt;0,ROUNDDOWN(IF(H13&gt;0,((SUM(M10:M11)*(1-$C$7)-M20-M21-M15-M14*(1+$L$29)-$L$32)/(1+$L$29)-D21*MAX(D22-40,0)*H13)/(D21*MIN(D22,40)),(SUM(M10:M11)*(1-$C$7)-M20-M21-M15-M14*(1+$L$29)-$L$32)/((1+$L$29)*D21*(MIN(D22,40)+1.5*MAX(D22-40,0)))),2),H7)</f>
        <v>30</v>
      </c>
      <c r="I11" s="1"/>
      <c r="J11" s="16" t="s">
        <v>30</v>
      </c>
      <c r="K11" s="16"/>
      <c r="L11" s="34" t="n">
        <f aca="false">(D22-IF(OR(D16="Yes",D12&gt;0),MIN(D22,IFERROR(INDEX(Lists!$G$1:$G$2,MATCH(D18,Lists!$F$1:$F$2,0)),40)),D22))*D14</f>
        <v>0</v>
      </c>
      <c r="M11" s="35" t="n">
        <f aca="false">L11*$D$21</f>
        <v>0</v>
      </c>
      <c r="N11" s="1"/>
      <c r="O11" s="37" t="s">
        <v>31</v>
      </c>
      <c r="P11" s="37"/>
      <c r="Q11" s="37"/>
      <c r="R11" s="37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customFormat="false" ht="16.5" hidden="false" customHeight="true" outlineLevel="0" collapsed="false">
      <c r="A12" s="1"/>
      <c r="B12" s="12" t="s">
        <v>32</v>
      </c>
      <c r="C12" s="14"/>
      <c r="D12" s="22" t="n">
        <v>0</v>
      </c>
      <c r="E12" s="1"/>
      <c r="F12" s="24"/>
      <c r="G12" s="18"/>
      <c r="H12" s="19"/>
      <c r="I12" s="1"/>
      <c r="J12" s="16" t="s">
        <v>33</v>
      </c>
      <c r="K12" s="16"/>
      <c r="L12" s="34" t="n">
        <f aca="false">MIN(D22,40)*H11</f>
        <v>1080</v>
      </c>
      <c r="M12" s="35" t="n">
        <f aca="false">L12*$D$21</f>
        <v>14040</v>
      </c>
      <c r="N12" s="1"/>
      <c r="O12" s="12" t="s">
        <v>34</v>
      </c>
      <c r="P12" s="12"/>
      <c r="Q12" s="12"/>
      <c r="R12" s="38" t="n">
        <f aca="false">D21</f>
        <v>13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customFormat="false" ht="16.5" hidden="false" customHeight="true" outlineLevel="0" collapsed="false">
      <c r="A13" s="1"/>
      <c r="B13" s="12" t="s">
        <v>35</v>
      </c>
      <c r="C13" s="14"/>
      <c r="D13" s="33" t="n">
        <v>0</v>
      </c>
      <c r="E13" s="1"/>
      <c r="F13" s="39" t="s">
        <v>36</v>
      </c>
      <c r="G13" s="39"/>
      <c r="H13" s="22" t="n">
        <v>0</v>
      </c>
      <c r="I13" s="1"/>
      <c r="J13" s="16" t="s">
        <v>37</v>
      </c>
      <c r="K13" s="16"/>
      <c r="L13" s="34" t="n">
        <f aca="false">MAX(D22-40,0)*H8</f>
        <v>0</v>
      </c>
      <c r="M13" s="35" t="n">
        <f aca="false">L13*$D$21</f>
        <v>0</v>
      </c>
      <c r="N13" s="1"/>
      <c r="O13" s="12" t="s">
        <v>38</v>
      </c>
      <c r="P13" s="12"/>
      <c r="Q13" s="12"/>
      <c r="R13" s="38" t="n">
        <f aca="false">D22</f>
        <v>36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customFormat="false" ht="16.5" hidden="false" customHeight="true" outlineLevel="0" collapsed="false">
      <c r="A14" s="1"/>
      <c r="B14" s="16" t="s">
        <v>39</v>
      </c>
      <c r="C14" s="14"/>
      <c r="D14" s="36" t="n">
        <f aca="false">IF(D12&gt;0,D12,D11*IF(D16="Yes",IFERROR(INDEX(Lists!$E$1:$E$4,MATCH(D17,Lists!$D$1:$D$4,0)),1),1))</f>
        <v>90</v>
      </c>
      <c r="E14" s="1"/>
      <c r="F14" s="39"/>
      <c r="G14" s="39"/>
      <c r="H14" s="22"/>
      <c r="I14" s="1"/>
      <c r="J14" s="16" t="s">
        <v>40</v>
      </c>
      <c r="K14" s="16"/>
      <c r="L14" s="34" t="n">
        <f aca="false">M14/$D$21</f>
        <v>0</v>
      </c>
      <c r="M14" s="35" t="n">
        <f aca="false">H17</f>
        <v>0</v>
      </c>
      <c r="N14" s="1"/>
      <c r="O14" s="12" t="s">
        <v>41</v>
      </c>
      <c r="P14" s="12"/>
      <c r="Q14" s="12"/>
      <c r="R14" s="38" t="n">
        <f aca="false">D23</f>
        <v>12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customFormat="false" ht="16.5" hidden="false" customHeight="true" outlineLevel="0" collapsed="false">
      <c r="A15" s="1"/>
      <c r="B15" s="32" t="s">
        <v>42</v>
      </c>
      <c r="C15" s="32"/>
      <c r="D15" s="32"/>
      <c r="E15" s="1"/>
      <c r="F15" s="24"/>
      <c r="G15" s="18"/>
      <c r="H15" s="19"/>
      <c r="I15" s="1"/>
      <c r="J15" s="16" t="s">
        <v>43</v>
      </c>
      <c r="K15" s="16"/>
      <c r="L15" s="34" t="n">
        <f aca="false">H9</f>
        <v>1200</v>
      </c>
      <c r="M15" s="35" t="n">
        <f aca="false">L15*$D$21</f>
        <v>15600</v>
      </c>
      <c r="N15" s="1"/>
      <c r="O15" s="24"/>
      <c r="P15" s="18"/>
      <c r="Q15" s="18"/>
      <c r="R15" s="19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customFormat="false" ht="16.5" hidden="false" customHeight="true" outlineLevel="0" collapsed="false">
      <c r="A16" s="1"/>
      <c r="B16" s="12" t="s">
        <v>44</v>
      </c>
      <c r="C16" s="14"/>
      <c r="D16" s="15" t="s">
        <v>45</v>
      </c>
      <c r="E16" s="1"/>
      <c r="F16" s="40" t="s">
        <v>46</v>
      </c>
      <c r="G16" s="40"/>
      <c r="H16" s="40"/>
      <c r="I16" s="1"/>
      <c r="J16" s="41" t="s">
        <v>47</v>
      </c>
      <c r="K16" s="41"/>
      <c r="L16" s="42" t="n">
        <f aca="false">SUM(L10:L11)-SUM(L12:L15)</f>
        <v>960</v>
      </c>
      <c r="M16" s="43" t="n">
        <f aca="false">SUM(M10:M11)-SUM(M12:M15)</f>
        <v>12480</v>
      </c>
      <c r="N16" s="1"/>
      <c r="O16" s="37" t="s">
        <v>48</v>
      </c>
      <c r="P16" s="37"/>
      <c r="Q16" s="37"/>
      <c r="R16" s="37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customFormat="false" ht="16.5" hidden="false" customHeight="true" outlineLevel="0" collapsed="false">
      <c r="A17" s="1"/>
      <c r="B17" s="12" t="s">
        <v>49</v>
      </c>
      <c r="C17" s="14"/>
      <c r="D17" s="15" t="s">
        <v>50</v>
      </c>
      <c r="E17" s="1"/>
      <c r="F17" s="44" t="s">
        <v>51</v>
      </c>
      <c r="G17" s="45"/>
      <c r="H17" s="46" t="n">
        <v>0</v>
      </c>
      <c r="I17" s="1"/>
      <c r="J17" s="24"/>
      <c r="K17" s="18"/>
      <c r="L17" s="18"/>
      <c r="M17" s="19"/>
      <c r="N17" s="1"/>
      <c r="O17" s="12" t="s">
        <v>14</v>
      </c>
      <c r="P17" s="12"/>
      <c r="Q17" s="12"/>
      <c r="R17" s="26" t="n">
        <f aca="false">H11</f>
        <v>30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customFormat="false" ht="16.5" hidden="false" customHeight="true" outlineLevel="0" collapsed="false">
      <c r="A18" s="1"/>
      <c r="B18" s="12" t="s">
        <v>52</v>
      </c>
      <c r="C18" s="14"/>
      <c r="D18" s="15" t="s">
        <v>53</v>
      </c>
      <c r="E18" s="1"/>
      <c r="F18" s="1"/>
      <c r="G18" s="1"/>
      <c r="H18" s="1"/>
      <c r="I18" s="1"/>
      <c r="J18" s="16" t="s">
        <v>54</v>
      </c>
      <c r="K18" s="16"/>
      <c r="L18" s="34" t="n">
        <f aca="false">SUM(L10:L11)*$C$7</f>
        <v>194.4</v>
      </c>
      <c r="M18" s="35" t="n">
        <f aca="false">SUM(M10:M11)*$C$7</f>
        <v>2527.2</v>
      </c>
      <c r="N18" s="1"/>
      <c r="O18" s="12" t="s">
        <v>55</v>
      </c>
      <c r="P18" s="12"/>
      <c r="Q18" s="12"/>
      <c r="R18" s="26" t="n">
        <f aca="false">H8</f>
        <v>45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customFormat="false" ht="16.5" hidden="false" customHeight="true" outlineLevel="0" collapsed="false">
      <c r="A19" s="1"/>
      <c r="B19" s="24"/>
      <c r="C19" s="18"/>
      <c r="D19" s="19"/>
      <c r="E19" s="1"/>
      <c r="F19" s="1"/>
      <c r="G19" s="1"/>
      <c r="H19" s="1"/>
      <c r="I19" s="1"/>
      <c r="J19" s="16" t="s">
        <v>56</v>
      </c>
      <c r="K19" s="16"/>
      <c r="L19" s="34" t="n">
        <f aca="false">SUM(L12:L14)*$L$29</f>
        <v>194.4</v>
      </c>
      <c r="M19" s="35" t="n">
        <f aca="false">SUM(M12:M14)*$L$29</f>
        <v>2527.2</v>
      </c>
      <c r="N19" s="1"/>
      <c r="O19" s="24"/>
      <c r="P19" s="18"/>
      <c r="Q19" s="18"/>
      <c r="R19" s="19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customFormat="false" ht="16.5" hidden="false" customHeight="true" outlineLevel="0" collapsed="false">
      <c r="A20" s="1"/>
      <c r="B20" s="32" t="s">
        <v>31</v>
      </c>
      <c r="C20" s="32"/>
      <c r="D20" s="32"/>
      <c r="E20" s="1"/>
      <c r="F20" s="1"/>
      <c r="G20" s="1"/>
      <c r="H20" s="1"/>
      <c r="I20" s="1"/>
      <c r="J20" s="16" t="s">
        <v>57</v>
      </c>
      <c r="K20" s="16"/>
      <c r="L20" s="34" t="n">
        <f aca="false">M20/$D$21</f>
        <v>0</v>
      </c>
      <c r="M20" s="35" t="n">
        <f aca="false">IFERROR(INDEX(Lists!$I$1:$I$4,MATCH(D8,Lists!$H$1:$H$4,0)),0)+IF(H6="New",L30,0)</f>
        <v>0</v>
      </c>
      <c r="N20" s="1"/>
      <c r="O20" s="37" t="s">
        <v>58</v>
      </c>
      <c r="P20" s="37"/>
      <c r="Q20" s="37"/>
      <c r="R20" s="37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customFormat="false" ht="16.5" hidden="false" customHeight="true" outlineLevel="0" collapsed="false">
      <c r="A21" s="1"/>
      <c r="B21" s="12" t="s">
        <v>34</v>
      </c>
      <c r="C21" s="14"/>
      <c r="D21" s="47" t="n">
        <v>13</v>
      </c>
      <c r="E21" s="1"/>
      <c r="F21" s="48" t="s">
        <v>59</v>
      </c>
      <c r="G21" s="1"/>
      <c r="H21" s="1"/>
      <c r="I21" s="1"/>
      <c r="J21" s="16" t="s">
        <v>60</v>
      </c>
      <c r="K21" s="16"/>
      <c r="L21" s="34" t="n">
        <f aca="false">M21/$D$21</f>
        <v>78.0923076923077</v>
      </c>
      <c r="M21" s="35" t="n">
        <f aca="false">IF(D24="Soloh",D25*D11*(1-$C$7),0)</f>
        <v>1015.2</v>
      </c>
      <c r="N21" s="1"/>
      <c r="O21" s="12" t="s">
        <v>61</v>
      </c>
      <c r="P21" s="12"/>
      <c r="Q21" s="12"/>
      <c r="R21" s="26" t="n">
        <f aca="false">L12+L13</f>
        <v>1080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customFormat="false" ht="16.5" hidden="false" customHeight="true" outlineLevel="0" collapsed="false">
      <c r="A22" s="1"/>
      <c r="B22" s="12" t="s">
        <v>38</v>
      </c>
      <c r="C22" s="14"/>
      <c r="D22" s="47" t="n">
        <v>36</v>
      </c>
      <c r="E22" s="1"/>
      <c r="F22" s="1"/>
      <c r="G22" s="1"/>
      <c r="H22" s="1"/>
      <c r="I22" s="1"/>
      <c r="J22" s="41" t="s">
        <v>62</v>
      </c>
      <c r="K22" s="41"/>
      <c r="L22" s="42" t="n">
        <f aca="false">L16-SUM(L18:L21)</f>
        <v>493.107692307692</v>
      </c>
      <c r="M22" s="43" t="n">
        <f aca="false">M16-SUM(M18:M21)</f>
        <v>6410.4</v>
      </c>
      <c r="N22" s="1"/>
      <c r="O22" s="12" t="s">
        <v>63</v>
      </c>
      <c r="P22" s="12"/>
      <c r="Q22" s="12"/>
      <c r="R22" s="26" t="n">
        <f aca="false">L15</f>
        <v>1200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customFormat="false" ht="16.5" hidden="false" customHeight="true" outlineLevel="0" collapsed="false">
      <c r="A23" s="1"/>
      <c r="B23" s="12" t="s">
        <v>41</v>
      </c>
      <c r="C23" s="14"/>
      <c r="D23" s="47" t="n">
        <v>12</v>
      </c>
      <c r="E23" s="1"/>
      <c r="F23" s="1"/>
      <c r="G23" s="1"/>
      <c r="H23" s="1"/>
      <c r="I23" s="1"/>
      <c r="J23" s="24"/>
      <c r="K23" s="18"/>
      <c r="L23" s="18"/>
      <c r="M23" s="19"/>
      <c r="N23" s="1"/>
      <c r="O23" s="16" t="s">
        <v>64</v>
      </c>
      <c r="P23" s="16"/>
      <c r="Q23" s="16"/>
      <c r="R23" s="49" t="n">
        <f aca="false">R21+R22</f>
        <v>2280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customFormat="false" ht="16.5" hidden="false" customHeight="true" outlineLevel="0" collapsed="false">
      <c r="A24" s="1"/>
      <c r="B24" s="12" t="s">
        <v>65</v>
      </c>
      <c r="C24" s="14"/>
      <c r="D24" s="50" t="s">
        <v>66</v>
      </c>
      <c r="E24" s="1"/>
      <c r="F24" s="1"/>
      <c r="G24" s="1"/>
      <c r="H24" s="1"/>
      <c r="I24" s="1"/>
      <c r="J24" s="51" t="s">
        <v>67</v>
      </c>
      <c r="K24" s="51"/>
      <c r="L24" s="51"/>
      <c r="M24" s="51"/>
      <c r="N24" s="1"/>
      <c r="O24" s="12" t="s">
        <v>68</v>
      </c>
      <c r="P24" s="12"/>
      <c r="Q24" s="12"/>
      <c r="R24" s="26" t="n">
        <f aca="false">H17</f>
        <v>0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customFormat="false" ht="16.5" hidden="false" customHeight="true" outlineLevel="0" collapsed="false">
      <c r="A25" s="1"/>
      <c r="B25" s="52" t="s">
        <v>69</v>
      </c>
      <c r="C25" s="45"/>
      <c r="D25" s="53" t="n">
        <v>12</v>
      </c>
      <c r="E25" s="1"/>
      <c r="F25" s="1"/>
      <c r="G25" s="1"/>
      <c r="H25" s="1"/>
      <c r="I25" s="1"/>
      <c r="J25" s="16" t="s">
        <v>70</v>
      </c>
      <c r="K25" s="16"/>
      <c r="L25" s="54" t="n">
        <f aca="false">M25-H9</f>
        <v>-90.0923076923077</v>
      </c>
      <c r="M25" s="49" t="n">
        <f aca="false">IFERROR((SUM(M10:M11)*(1-$C$7-$L$31)-SUM(M12:M14)*(1+$L$29)-M20-M21)/$D$21,0)</f>
        <v>1109.90769230769</v>
      </c>
      <c r="N25" s="1"/>
      <c r="O25" s="24"/>
      <c r="P25" s="18"/>
      <c r="Q25" s="18"/>
      <c r="R25" s="19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customFormat="false" ht="16.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6" t="s">
        <v>71</v>
      </c>
      <c r="K26" s="16"/>
      <c r="L26" s="54" t="n">
        <f aca="false">M26-H11</f>
        <v>-2.12081703607127</v>
      </c>
      <c r="M26" s="49" t="n">
        <f aca="false">IFERROR((SUM(M10:M11)*(1-$C$7-$L$31)-M15-M14*(1+$L$29)-M20-M21)/((1+$L$29)*$D$21*(MIN(D22,40)+MAX(D22-40,0)*H8/H11)),0)</f>
        <v>27.8791829639287</v>
      </c>
      <c r="N26" s="1"/>
      <c r="O26" s="37" t="s">
        <v>72</v>
      </c>
      <c r="P26" s="37"/>
      <c r="Q26" s="37"/>
      <c r="R26" s="37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customFormat="false" ht="16.5" hidden="false" customHeight="true" outlineLevel="0" collapsed="false">
      <c r="A27" s="1"/>
      <c r="B27" s="55" t="s">
        <v>73</v>
      </c>
      <c r="C27" s="1"/>
      <c r="D27" s="1"/>
      <c r="E27" s="1"/>
      <c r="F27" s="1"/>
      <c r="G27" s="1"/>
      <c r="H27" s="1"/>
      <c r="I27" s="1"/>
      <c r="J27" s="16" t="s">
        <v>74</v>
      </c>
      <c r="K27" s="16"/>
      <c r="L27" s="34" t="n">
        <f aca="false">SUM(M10:M11)*$L$31</f>
        <v>7581.6</v>
      </c>
      <c r="M27" s="56" t="n">
        <f aca="false">M22-L27</f>
        <v>-1171.2</v>
      </c>
      <c r="N27" s="1"/>
      <c r="O27" s="57"/>
      <c r="P27" s="57"/>
      <c r="Q27" s="57"/>
      <c r="R27" s="57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customFormat="false" ht="16.5" hidden="false" customHeight="true" outlineLevel="0" collapsed="false">
      <c r="A28" s="1"/>
      <c r="B28" s="55" t="s">
        <v>75</v>
      </c>
      <c r="C28" s="1"/>
      <c r="D28" s="1"/>
      <c r="E28" s="1"/>
      <c r="F28" s="1"/>
      <c r="G28" s="1"/>
      <c r="H28" s="1"/>
      <c r="I28" s="1"/>
      <c r="J28" s="51" t="s">
        <v>76</v>
      </c>
      <c r="K28" s="51"/>
      <c r="L28" s="51"/>
      <c r="M28" s="51"/>
      <c r="N28" s="1"/>
      <c r="O28" s="57"/>
      <c r="P28" s="57"/>
      <c r="Q28" s="57"/>
      <c r="R28" s="57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customFormat="false" ht="16.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2" t="s">
        <v>77</v>
      </c>
      <c r="K29" s="12"/>
      <c r="L29" s="58" t="n">
        <v>0.18</v>
      </c>
      <c r="M29" s="58"/>
      <c r="N29" s="1"/>
      <c r="O29" s="57"/>
      <c r="P29" s="57"/>
      <c r="Q29" s="57"/>
      <c r="R29" s="57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customFormat="false" ht="16.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2" t="s">
        <v>78</v>
      </c>
      <c r="K30" s="12"/>
      <c r="L30" s="59" t="n">
        <v>0</v>
      </c>
      <c r="M30" s="59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customFormat="false" ht="16.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2" t="s">
        <v>79</v>
      </c>
      <c r="K31" s="12"/>
      <c r="L31" s="60" t="n">
        <v>0.18</v>
      </c>
      <c r="M31" s="60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customFormat="false" ht="16.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61" t="s">
        <v>80</v>
      </c>
      <c r="K32" s="61"/>
      <c r="L32" s="62" t="n">
        <v>0</v>
      </c>
      <c r="M32" s="62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customFormat="false" ht="16.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customFormat="false" ht="16.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customFormat="false" ht="16.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customFormat="false" ht="16.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customFormat="false" ht="16.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customFormat="false" ht="16.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customFormat="false" ht="16.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</sheetData>
  <sheetProtection sheet="true" password="c784"/>
  <mergeCells count="56">
    <mergeCell ref="J3:M3"/>
    <mergeCell ref="O3:R3"/>
    <mergeCell ref="B5:D5"/>
    <mergeCell ref="F5:H5"/>
    <mergeCell ref="J5:K5"/>
    <mergeCell ref="O5:R5"/>
    <mergeCell ref="C6:D6"/>
    <mergeCell ref="O6:R6"/>
    <mergeCell ref="C7:D7"/>
    <mergeCell ref="O8:R8"/>
    <mergeCell ref="O9:R9"/>
    <mergeCell ref="B10:D10"/>
    <mergeCell ref="J10:K10"/>
    <mergeCell ref="J11:K11"/>
    <mergeCell ref="O11:R11"/>
    <mergeCell ref="J12:K12"/>
    <mergeCell ref="O12:Q12"/>
    <mergeCell ref="F13:G14"/>
    <mergeCell ref="H13:H14"/>
    <mergeCell ref="J13:K13"/>
    <mergeCell ref="O13:Q13"/>
    <mergeCell ref="J14:K14"/>
    <mergeCell ref="O14:Q14"/>
    <mergeCell ref="B15:D15"/>
    <mergeCell ref="J15:K15"/>
    <mergeCell ref="F16:H16"/>
    <mergeCell ref="J16:K16"/>
    <mergeCell ref="O16:R16"/>
    <mergeCell ref="O17:Q17"/>
    <mergeCell ref="J18:K18"/>
    <mergeCell ref="O18:Q18"/>
    <mergeCell ref="J19:K19"/>
    <mergeCell ref="B20:D20"/>
    <mergeCell ref="J20:K20"/>
    <mergeCell ref="O20:R20"/>
    <mergeCell ref="J21:K21"/>
    <mergeCell ref="O21:Q21"/>
    <mergeCell ref="J22:K22"/>
    <mergeCell ref="O22:Q22"/>
    <mergeCell ref="O23:Q23"/>
    <mergeCell ref="J24:M24"/>
    <mergeCell ref="O24:Q24"/>
    <mergeCell ref="J25:K25"/>
    <mergeCell ref="J26:K26"/>
    <mergeCell ref="O26:R26"/>
    <mergeCell ref="J27:K27"/>
    <mergeCell ref="O27:R29"/>
    <mergeCell ref="J28:M28"/>
    <mergeCell ref="J29:K29"/>
    <mergeCell ref="L29:M29"/>
    <mergeCell ref="J30:K30"/>
    <mergeCell ref="L30:M30"/>
    <mergeCell ref="J31:K31"/>
    <mergeCell ref="L31:M31"/>
    <mergeCell ref="J32:K32"/>
    <mergeCell ref="L32:M32"/>
  </mergeCells>
  <conditionalFormatting sqref="K8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1">
      <formula>"NO"</formula>
    </cfRule>
  </conditionalFormatting>
  <conditionalFormatting sqref="O6">
    <cfRule type="expression" priority="4" aboveAverage="0" equalAverage="0" bottom="0" percent="0" rank="0" text="" dxfId="2">
      <formula>LEFT(O6,3)="***"</formula>
    </cfRule>
  </conditionalFormatting>
  <dataValidations count="6">
    <dataValidation allowBlank="false" errorStyle="stop" operator="between" showDropDown="false" showErrorMessage="false" showInputMessage="false" sqref="D16" type="list">
      <formula1>Lists!$A$1:$A$2</formula1>
      <formula2>0</formula2>
    </dataValidation>
    <dataValidation allowBlank="false" errorStyle="stop" operator="between" showDropDown="false" showErrorMessage="false" showInputMessage="false" sqref="H6" type="list">
      <formula1>Lists!$B$1:$B$2</formula1>
      <formula2>0</formula2>
    </dataValidation>
    <dataValidation allowBlank="false" errorStyle="stop" operator="between" showDropDown="false" showErrorMessage="false" showInputMessage="false" sqref="D24" type="list">
      <formula1>Lists!$C$1:$C$2</formula1>
      <formula2>0</formula2>
    </dataValidation>
    <dataValidation allowBlank="false" errorStyle="stop" operator="between" showDropDown="false" showErrorMessage="false" showInputMessage="false" sqref="D17" type="list">
      <formula1>Lists!$D$1:$D$4</formula1>
      <formula2>0</formula2>
    </dataValidation>
    <dataValidation allowBlank="false" errorStyle="stop" operator="between" showDropDown="false" showErrorMessage="false" showInputMessage="false" sqref="D18" type="list">
      <formula1>Lists!$F$1:$F$2</formula1>
      <formula2>0</formula2>
    </dataValidation>
    <dataValidation allowBlank="false" errorStyle="stop" operator="between" showDropDown="false" showErrorMessage="false" showInputMessage="false" sqref="D8" type="list">
      <formula1>Lists!$H$1:$H$4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81</v>
      </c>
      <c r="B1" s="0" t="s">
        <v>11</v>
      </c>
      <c r="C1" s="0" t="s">
        <v>82</v>
      </c>
      <c r="D1" s="0" t="s">
        <v>50</v>
      </c>
      <c r="E1" s="0" t="n">
        <v>1</v>
      </c>
      <c r="F1" s="0" t="s">
        <v>53</v>
      </c>
      <c r="G1" s="0" t="n">
        <v>40</v>
      </c>
      <c r="H1" s="0" t="s">
        <v>17</v>
      </c>
      <c r="I1" s="0" t="n">
        <v>0</v>
      </c>
    </row>
    <row r="2" customFormat="false" ht="15" hidden="false" customHeight="false" outlineLevel="0" collapsed="false">
      <c r="A2" s="0" t="s">
        <v>45</v>
      </c>
      <c r="B2" s="0" t="s">
        <v>83</v>
      </c>
      <c r="C2" s="0" t="s">
        <v>66</v>
      </c>
      <c r="D2" s="0" t="s">
        <v>84</v>
      </c>
      <c r="E2" s="0" t="n">
        <v>1.25</v>
      </c>
      <c r="F2" s="0" t="s">
        <v>85</v>
      </c>
      <c r="G2" s="0" t="n">
        <v>48</v>
      </c>
      <c r="H2" s="0" t="s">
        <v>86</v>
      </c>
      <c r="I2" s="0" t="n">
        <v>500</v>
      </c>
    </row>
    <row r="3" customFormat="false" ht="15" hidden="false" customHeight="false" outlineLevel="0" collapsed="false">
      <c r="D3" s="0" t="s">
        <v>87</v>
      </c>
      <c r="E3" s="0" t="n">
        <v>1.3</v>
      </c>
      <c r="H3" s="0" t="s">
        <v>88</v>
      </c>
      <c r="I3" s="0" t="n">
        <v>1200</v>
      </c>
    </row>
    <row r="4" customFormat="false" ht="15" hidden="false" customHeight="false" outlineLevel="0" collapsed="false">
      <c r="D4" s="0" t="s">
        <v>89</v>
      </c>
      <c r="E4" s="0" t="n">
        <v>1.5</v>
      </c>
      <c r="H4" s="0" t="s">
        <v>90</v>
      </c>
      <c r="I4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110"/>
  </cols>
  <sheetData>
    <row r="2" customFormat="false" ht="17.35" hidden="false" customHeight="false" outlineLevel="0" collapsed="false">
      <c r="B2" s="63" t="s">
        <v>91</v>
      </c>
    </row>
    <row r="3" customFormat="false" ht="15" hidden="false" customHeight="false" outlineLevel="0" collapsed="false">
      <c r="B3" s="64" t="s">
        <v>92</v>
      </c>
    </row>
    <row r="5" customFormat="false" ht="15" hidden="false" customHeight="false" outlineLevel="0" collapsed="false">
      <c r="B5" s="65" t="s">
        <v>93</v>
      </c>
      <c r="C5" s="65" t="s">
        <v>94</v>
      </c>
    </row>
    <row r="6" customFormat="false" ht="15" hidden="false" customHeight="false" outlineLevel="0" collapsed="false">
      <c r="B6" s="66" t="s">
        <v>95</v>
      </c>
      <c r="C6" s="67" t="s">
        <v>96</v>
      </c>
    </row>
    <row r="7" customFormat="false" ht="15" hidden="false" customHeight="false" outlineLevel="0" collapsed="false">
      <c r="B7" s="66" t="s">
        <v>97</v>
      </c>
      <c r="C7" s="67" t="s">
        <v>98</v>
      </c>
    </row>
    <row r="8" customFormat="false" ht="15" hidden="false" customHeight="false" outlineLevel="0" collapsed="false">
      <c r="B8" s="66" t="s">
        <v>99</v>
      </c>
      <c r="C8" s="67" t="s">
        <v>100</v>
      </c>
    </row>
    <row r="9" customFormat="false" ht="28.35" hidden="false" customHeight="false" outlineLevel="0" collapsed="false">
      <c r="B9" s="66" t="s">
        <v>101</v>
      </c>
      <c r="C9" s="67" t="s">
        <v>102</v>
      </c>
    </row>
    <row r="10" customFormat="false" ht="15" hidden="false" customHeight="false" outlineLevel="0" collapsed="false">
      <c r="B10" s="66" t="s">
        <v>103</v>
      </c>
      <c r="C10" s="67" t="s">
        <v>104</v>
      </c>
    </row>
    <row r="11" customFormat="false" ht="15" hidden="false" customHeight="false" outlineLevel="0" collapsed="false">
      <c r="B11" s="66" t="s">
        <v>105</v>
      </c>
      <c r="C11" s="67" t="s">
        <v>106</v>
      </c>
    </row>
    <row r="12" customFormat="false" ht="15" hidden="false" customHeight="false" outlineLevel="0" collapsed="false">
      <c r="B12" s="66" t="s">
        <v>107</v>
      </c>
      <c r="C12" s="67" t="s">
        <v>108</v>
      </c>
    </row>
    <row r="13" customFormat="false" ht="15" hidden="false" customHeight="false" outlineLevel="0" collapsed="false">
      <c r="B13" s="66" t="s">
        <v>109</v>
      </c>
      <c r="C13" s="67" t="s">
        <v>110</v>
      </c>
    </row>
    <row r="14" customFormat="false" ht="15" hidden="false" customHeight="false" outlineLevel="0" collapsed="false">
      <c r="B14" s="66" t="s">
        <v>111</v>
      </c>
      <c r="C14" s="67" t="s">
        <v>112</v>
      </c>
    </row>
    <row r="15" customFormat="false" ht="15" hidden="false" customHeight="false" outlineLevel="0" collapsed="false">
      <c r="B15" s="66" t="s">
        <v>113</v>
      </c>
      <c r="C15" s="67" t="s">
        <v>114</v>
      </c>
    </row>
    <row r="16" customFormat="false" ht="28.35" hidden="false" customHeight="false" outlineLevel="0" collapsed="false">
      <c r="B16" s="66" t="s">
        <v>115</v>
      </c>
      <c r="C16" s="67" t="s">
        <v>116</v>
      </c>
    </row>
    <row r="17" customFormat="false" ht="15" hidden="false" customHeight="false" outlineLevel="0" collapsed="false">
      <c r="B17" s="66" t="s">
        <v>117</v>
      </c>
      <c r="C17" s="67" t="s">
        <v>118</v>
      </c>
    </row>
    <row r="19" customFormat="false" ht="15" hidden="false" customHeight="false" outlineLevel="0" collapsed="false">
      <c r="B19" s="68" t="s">
        <v>119</v>
      </c>
    </row>
    <row r="20" customFormat="false" ht="28.35" hidden="false" customHeight="false" outlineLevel="0" collapsed="false">
      <c r="C20" s="67" t="s">
        <v>120</v>
      </c>
    </row>
    <row r="21" customFormat="false" ht="28.35" hidden="false" customHeight="false" outlineLevel="0" collapsed="false">
      <c r="C21" s="67" t="s">
        <v>121</v>
      </c>
    </row>
    <row r="22" customFormat="false" ht="15" hidden="false" customHeight="false" outlineLevel="0" collapsed="false">
      <c r="C22" s="67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69" t="s">
        <v>123</v>
      </c>
    </row>
    <row r="3" customFormat="false" ht="15" hidden="false" customHeight="false" outlineLevel="0" collapsed="false">
      <c r="A3" s="70" t="s">
        <v>124</v>
      </c>
    </row>
    <row r="4" customFormat="false" ht="15" hidden="false" customHeight="false" outlineLevel="0" collapsed="false">
      <c r="A4" s="71" t="s">
        <v>125</v>
      </c>
    </row>
    <row r="5" customFormat="false" ht="15" hidden="false" customHeight="false" outlineLevel="0" collapsed="false">
      <c r="A5" s="71" t="s">
        <v>126</v>
      </c>
    </row>
    <row r="6" customFormat="false" ht="15" hidden="false" customHeight="false" outlineLevel="0" collapsed="false">
      <c r="A6" s="71" t="s">
        <v>127</v>
      </c>
    </row>
    <row r="7" customFormat="false" ht="15" hidden="false" customHeight="false" outlineLevel="0" collapsed="false">
      <c r="A7" s="71"/>
    </row>
    <row r="8" customFormat="false" ht="15" hidden="false" customHeight="false" outlineLevel="0" collapsed="false">
      <c r="A8" s="71" t="s">
        <v>128</v>
      </c>
    </row>
    <row r="9" customFormat="false" ht="15" hidden="false" customHeight="false" outlineLevel="0" collapsed="false">
      <c r="A9" s="71" t="s">
        <v>129</v>
      </c>
    </row>
    <row r="10" customFormat="false" ht="15" hidden="false" customHeight="false" outlineLevel="0" collapsed="false">
      <c r="A10" s="71" t="s">
        <v>130</v>
      </c>
    </row>
    <row r="11" customFormat="false" ht="15" hidden="false" customHeight="false" outlineLevel="0" collapsed="false">
      <c r="A11" s="71" t="s">
        <v>131</v>
      </c>
    </row>
    <row r="12" customFormat="false" ht="15" hidden="false" customHeight="false" outlineLevel="0" collapsed="false">
      <c r="A12" s="71" t="s">
        <v>132</v>
      </c>
    </row>
    <row r="13" customFormat="false" ht="15" hidden="false" customHeight="false" outlineLevel="0" collapsed="false">
      <c r="A13" s="70" t="s">
        <v>133</v>
      </c>
    </row>
    <row r="14" customFormat="false" ht="15" hidden="false" customHeight="false" outlineLevel="0" collapsed="false">
      <c r="A14" s="71" t="s">
        <v>134</v>
      </c>
    </row>
    <row r="15" customFormat="false" ht="15" hidden="false" customHeight="false" outlineLevel="0" collapsed="false">
      <c r="A15" s="71" t="s">
        <v>135</v>
      </c>
    </row>
    <row r="16" customFormat="false" ht="15" hidden="false" customHeight="false" outlineLevel="0" collapsed="false">
      <c r="A16" s="71" t="s">
        <v>136</v>
      </c>
    </row>
    <row r="17" customFormat="false" ht="15" hidden="false" customHeight="false" outlineLevel="0" collapsed="false">
      <c r="A17" s="70" t="s">
        <v>137</v>
      </c>
    </row>
    <row r="18" customFormat="false" ht="15" hidden="false" customHeight="false" outlineLevel="0" collapsed="false">
      <c r="A18" s="71" t="s">
        <v>138</v>
      </c>
    </row>
    <row r="19" customFormat="false" ht="15" hidden="false" customHeight="false" outlineLevel="0" collapsed="false">
      <c r="A19" s="71" t="s">
        <v>139</v>
      </c>
    </row>
    <row r="20" customFormat="false" ht="15" hidden="false" customHeight="false" outlineLevel="0" collapsed="false">
      <c r="A20" s="71" t="s">
        <v>140</v>
      </c>
    </row>
    <row r="21" customFormat="false" ht="15" hidden="false" customHeight="false" outlineLevel="0" collapsed="false">
      <c r="A21" s="71" t="s">
        <v>141</v>
      </c>
    </row>
    <row r="22" customFormat="false" ht="15" hidden="false" customHeight="false" outlineLevel="0" collapsed="false">
      <c r="A22" s="71" t="s">
        <v>142</v>
      </c>
    </row>
    <row r="23" customFormat="false" ht="15" hidden="false" customHeight="false" outlineLevel="0" collapsed="false">
      <c r="A23" s="71" t="s">
        <v>143</v>
      </c>
    </row>
    <row r="24" customFormat="false" ht="15" hidden="false" customHeight="false" outlineLevel="0" collapsed="false">
      <c r="A24" s="71" t="s">
        <v>144</v>
      </c>
    </row>
    <row r="25" customFormat="false" ht="15" hidden="false" customHeight="false" outlineLevel="0" collapsed="false">
      <c r="A25" s="70" t="s">
        <v>145</v>
      </c>
    </row>
    <row r="26" customFormat="false" ht="15" hidden="false" customHeight="false" outlineLevel="0" collapsed="false">
      <c r="A26" s="71" t="s">
        <v>146</v>
      </c>
    </row>
    <row r="27" customFormat="false" ht="15" hidden="false" customHeight="false" outlineLevel="0" collapsed="false">
      <c r="A27" s="71" t="s">
        <v>147</v>
      </c>
    </row>
    <row r="28" customFormat="false" ht="15" hidden="false" customHeight="false" outlineLevel="0" collapsed="false">
      <c r="A28" s="71" t="s">
        <v>148</v>
      </c>
    </row>
    <row r="29" customFormat="false" ht="15" hidden="false" customHeight="false" outlineLevel="0" collapsed="false">
      <c r="A29" s="71" t="s">
        <v>149</v>
      </c>
    </row>
    <row r="30" customFormat="false" ht="15" hidden="false" customHeight="false" outlineLevel="0" collapsed="false">
      <c r="A30" s="70" t="s">
        <v>150</v>
      </c>
    </row>
    <row r="31" customFormat="false" ht="15" hidden="false" customHeight="false" outlineLevel="0" collapsed="false">
      <c r="A31" s="71" t="s">
        <v>151</v>
      </c>
    </row>
    <row r="32" customFormat="false" ht="15" hidden="false" customHeight="false" outlineLevel="0" collapsed="false">
      <c r="A32" s="71" t="s">
        <v>152</v>
      </c>
    </row>
    <row r="33" customFormat="false" ht="15" hidden="false" customHeight="false" outlineLevel="0" collapsed="false">
      <c r="A33" s="71" t="s">
        <v>153</v>
      </c>
    </row>
    <row r="34" customFormat="false" ht="15" hidden="false" customHeight="false" outlineLevel="0" collapsed="false">
      <c r="A34" s="71" t="s">
        <v>154</v>
      </c>
    </row>
    <row r="35" customFormat="false" ht="15" hidden="false" customHeight="false" outlineLevel="0" collapsed="false">
      <c r="A35" s="71" t="s">
        <v>155</v>
      </c>
    </row>
    <row r="36" customFormat="false" ht="15" hidden="false" customHeight="false" outlineLevel="0" collapsed="false">
      <c r="A36" s="70" t="s">
        <v>156</v>
      </c>
    </row>
    <row r="37" customFormat="false" ht="15" hidden="false" customHeight="false" outlineLevel="0" collapsed="false">
      <c r="A37" s="71" t="s">
        <v>157</v>
      </c>
    </row>
    <row r="38" customFormat="false" ht="15" hidden="false" customHeight="false" outlineLevel="0" collapsed="false">
      <c r="A38" s="71" t="s">
        <v>158</v>
      </c>
    </row>
    <row r="39" customFormat="false" ht="15" hidden="false" customHeight="false" outlineLevel="0" collapsed="false">
      <c r="A39" s="71" t="s">
        <v>159</v>
      </c>
    </row>
    <row r="40" customFormat="false" ht="15" hidden="false" customHeight="false" outlineLevel="0" collapsed="false">
      <c r="A40" s="71" t="s">
        <v>160</v>
      </c>
    </row>
    <row r="41" customFormat="false" ht="15" hidden="false" customHeight="false" outlineLevel="0" collapsed="false">
      <c r="A41" s="71" t="s">
        <v>161</v>
      </c>
    </row>
    <row r="42" customFormat="false" ht="15" hidden="false" customHeight="false" outlineLevel="0" collapsed="false">
      <c r="A42" s="71" t="s">
        <v>162</v>
      </c>
    </row>
    <row r="43" customFormat="false" ht="15" hidden="false" customHeight="false" outlineLevel="0" collapsed="false">
      <c r="A43" s="71"/>
    </row>
    <row r="44" customFormat="false" ht="15" hidden="false" customHeight="false" outlineLevel="0" collapsed="false">
      <c r="A44" s="71" t="s">
        <v>163</v>
      </c>
    </row>
    <row r="45" customFormat="false" ht="15" hidden="false" customHeight="false" outlineLevel="0" collapsed="false">
      <c r="A45" s="71" t="s">
        <v>164</v>
      </c>
    </row>
    <row r="46" customFormat="false" ht="15" hidden="false" customHeight="false" outlineLevel="0" collapsed="false">
      <c r="A46" s="71" t="s">
        <v>130</v>
      </c>
    </row>
    <row r="47" customFormat="false" ht="15" hidden="false" customHeight="false" outlineLevel="0" collapsed="false">
      <c r="A47" s="71" t="s">
        <v>165</v>
      </c>
    </row>
    <row r="48" customFormat="false" ht="15" hidden="false" customHeight="false" outlineLevel="0" collapsed="false">
      <c r="A48" s="71" t="s">
        <v>166</v>
      </c>
    </row>
    <row r="49" customFormat="false" ht="15" hidden="false" customHeight="false" outlineLevel="0" collapsed="false">
      <c r="A49" s="71" t="s">
        <v>167</v>
      </c>
    </row>
    <row r="50" customFormat="false" ht="15" hidden="false" customHeight="false" outlineLevel="0" collapsed="false">
      <c r="A50" s="71" t="s">
        <v>168</v>
      </c>
    </row>
    <row r="51" customFormat="false" ht="15" hidden="false" customHeight="false" outlineLevel="0" collapsed="false">
      <c r="A51" s="71" t="s">
        <v>169</v>
      </c>
    </row>
    <row r="52" customFormat="false" ht="15" hidden="false" customHeight="false" outlineLevel="0" collapsed="false">
      <c r="A52" s="71" t="s">
        <v>170</v>
      </c>
    </row>
    <row r="53" customFormat="false" ht="15" hidden="false" customHeight="false" outlineLevel="0" collapsed="false">
      <c r="A53" s="71" t="s">
        <v>171</v>
      </c>
    </row>
    <row r="54" customFormat="false" ht="15" hidden="false" customHeight="false" outlineLevel="0" collapsed="false">
      <c r="A54" s="71" t="s">
        <v>162</v>
      </c>
    </row>
  </sheetData>
  <sheetProtection sheet="true" password="c78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2026-10-14T18:03:16Z</dcterms:created>
  <dc:creator>openpyxl</dc:creator>
  <dc:description/>
  <dc:language>en-US</dc:language>
  <cp:lastModifiedBy/>
  <dcterms:modified xsi:type="dcterms:W3CDTF">2026-10-14T18:03:16Z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