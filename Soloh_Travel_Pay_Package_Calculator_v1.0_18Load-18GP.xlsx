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rashanttyagi/Desktop/"/>
    </mc:Choice>
  </mc:AlternateContent>
  <xr:revisionPtr revIDLastSave="0" documentId="13_ncr:1_{A9D1F2B6-3808-3E44-BF70-16FF63CA28D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Pay Package - Rate Calculator" sheetId="1" r:id="rId1"/>
    <sheet name="Lists" sheetId="2" state="hidden" r:id="rId2"/>
    <sheet name="Macro Setup" sheetId="3" r:id="rId3"/>
    <sheet name="Macro Code" sheetId="4" r:id="rId4"/>
  </sheets>
  <definedNames>
    <definedName name="_xlnm.Print_Area" localSheetId="0">'Pay Package - Rate Calculator'!$A$1:$R$37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4" i="1" l="1"/>
  <c r="R21" i="1"/>
  <c r="M21" i="1"/>
  <c r="L21" i="1" s="1"/>
  <c r="R20" i="1"/>
  <c r="M20" i="1"/>
  <c r="R19" i="1"/>
  <c r="H18" i="1"/>
  <c r="D17" i="1"/>
  <c r="O16" i="1"/>
  <c r="O15" i="1"/>
  <c r="L15" i="1"/>
  <c r="M14" i="1"/>
  <c r="M26" i="1" s="1"/>
  <c r="L14" i="1"/>
  <c r="L12" i="1"/>
  <c r="L11" i="1"/>
  <c r="M11" i="1" s="1"/>
  <c r="L10" i="1"/>
  <c r="O9" i="1"/>
  <c r="O8" i="1"/>
  <c r="O7" i="1"/>
  <c r="O6" i="1"/>
  <c r="L20" i="1" l="1"/>
  <c r="R25" i="1"/>
  <c r="L13" i="1"/>
  <c r="M15" i="1"/>
  <c r="R29" i="1"/>
  <c r="M12" i="1"/>
  <c r="M10" i="1"/>
  <c r="L18" i="1"/>
  <c r="M32" i="1" l="1"/>
  <c r="L32" i="1" s="1"/>
  <c r="M27" i="1"/>
  <c r="M19" i="1"/>
  <c r="M16" i="1"/>
  <c r="L33" i="1"/>
  <c r="M18" i="1"/>
  <c r="M13" i="1"/>
  <c r="R28" i="1"/>
  <c r="R30" i="1" s="1"/>
  <c r="L19" i="1"/>
  <c r="L16" i="1"/>
  <c r="L22" i="1" l="1"/>
  <c r="K7" i="1" s="1"/>
  <c r="K8" i="1" s="1"/>
  <c r="M31" i="1"/>
  <c r="L31" i="1" s="1"/>
  <c r="M25" i="1"/>
  <c r="M28" i="1" s="1"/>
  <c r="M22" i="1"/>
  <c r="K6" i="1" l="1"/>
  <c r="M33" i="1"/>
</calcChain>
</file>

<file path=xl/sharedStrings.xml><?xml version="1.0" encoding="utf-8"?>
<sst xmlns="http://schemas.openxmlformats.org/spreadsheetml/2006/main" count="212" uniqueCount="198">
  <si>
    <t>Soloh Travel Pay Package Calculator v1.0   |   18% Load on W2 · No Onboarding Cost · 18% Desired GP</t>
  </si>
  <si>
    <t>Enter the below information</t>
  </si>
  <si>
    <t>(Enter details in YELLOW cells)</t>
  </si>
  <si>
    <t>Financial Summary</t>
  </si>
  <si>
    <t>Pay Package Confirmation</t>
  </si>
  <si>
    <t>Client Details</t>
  </si>
  <si>
    <t>Candidate Details</t>
  </si>
  <si>
    <t>Financial Performance</t>
  </si>
  <si>
    <t>Client and Job Details</t>
  </si>
  <si>
    <t>Client Name</t>
  </si>
  <si>
    <t>Rightsourcing - Norton HealthCare</t>
  </si>
  <si>
    <t>Candidate Name</t>
  </si>
  <si>
    <t>Hourly Net Margin</t>
  </si>
  <si>
    <t>MSP/VMS Fee %</t>
  </si>
  <si>
    <t>Candidate Email</t>
  </si>
  <si>
    <t>Net Margin Percentage</t>
  </si>
  <si>
    <t>Recruited by Name</t>
  </si>
  <si>
    <t>Meets 18% Desired GP?</t>
  </si>
  <si>
    <t>Job Details</t>
  </si>
  <si>
    <t>Recruited by Email</t>
  </si>
  <si>
    <t>Weekly</t>
  </si>
  <si>
    <t>Project</t>
  </si>
  <si>
    <t>Job Title</t>
  </si>
  <si>
    <t>RN - Telemetry (Nights)</t>
  </si>
  <si>
    <t>Recruiter Notes -&gt;</t>
  </si>
  <si>
    <t>+ Revenue (RT)</t>
  </si>
  <si>
    <t>JobDiva Ref #</t>
  </si>
  <si>
    <t>&lt;99-123459&gt;</t>
  </si>
  <si>
    <t>+ Revenue (OT)</t>
  </si>
  <si>
    <t>Submission Details</t>
  </si>
  <si>
    <t>Client Job #</t>
  </si>
  <si>
    <t>37658611</t>
  </si>
  <si>
    <t>- W2 Hourly Comp (RT)</t>
  </si>
  <si>
    <t>Pending client acceptance</t>
  </si>
  <si>
    <t>Incremental Recruiting Costs</t>
  </si>
  <si>
    <t>None</t>
  </si>
  <si>
    <t>- W2 Hourly Comp (OT)</t>
  </si>
  <si>
    <t>- W2 Bonus Comp</t>
  </si>
  <si>
    <t>Client Bill Details</t>
  </si>
  <si>
    <t>Candidate Pay Details</t>
  </si>
  <si>
    <t>- Per Diem: Non W2 Comp</t>
  </si>
  <si>
    <t>Bill Rate RT (Regular Time)</t>
  </si>
  <si>
    <t>Engagement Type (New or Extension?)</t>
  </si>
  <si>
    <t>New</t>
  </si>
  <si>
    <t xml:space="preserve"> = Gross Margin</t>
  </si>
  <si>
    <t>Bill Rate OT (Over Time)</t>
  </si>
  <si>
    <t>W2 Pay Rate RT (Regular Time)</t>
  </si>
  <si>
    <t>Bill Rate Holiday</t>
  </si>
  <si>
    <t>W2 Pay Rate OT (Over Time)   = 1.5 * W2 Pay Rate RT</t>
  </si>
  <si>
    <t>- MSP/VMS Fee</t>
  </si>
  <si>
    <t>Client Contract Details</t>
  </si>
  <si>
    <t>Weekly Per Diem</t>
  </si>
  <si>
    <t>- Payroll Load / Overhead Brdn (18% on W2)</t>
  </si>
  <si>
    <t>Contract duration in weeks</t>
  </si>
  <si>
    <t>W2 Pay Rate Holiday</t>
  </si>
  <si>
    <t>- Incremental Recruiting + Onboarding</t>
  </si>
  <si>
    <t>Expected hours per week</t>
  </si>
  <si>
    <t>- Orientation (non-billable hrs)</t>
  </si>
  <si>
    <t>Expected hours per shift</t>
  </si>
  <si>
    <t>OT Policy (Client)</t>
  </si>
  <si>
    <t>OT Override (Candidate)</t>
  </si>
  <si>
    <t xml:space="preserve"> = Net Margin</t>
  </si>
  <si>
    <t>Client bills OT?   (Yes/No)</t>
  </si>
  <si>
    <t>No</t>
  </si>
  <si>
    <t>OT Pay Rate – enter if not 1.5 × RT (0 = 1.5×)</t>
  </si>
  <si>
    <t>Hourly Pay Rate</t>
  </si>
  <si>
    <t>OT Multiplier - Client Bill Rate</t>
  </si>
  <si>
    <t>No OT (straight)</t>
  </si>
  <si>
    <t>Blended Hourly Pay Package  (Taxable + Nontaxable)</t>
  </si>
  <si>
    <t>When does Client Start to pay OT</t>
  </si>
  <si>
    <t>OT after 40 hrs</t>
  </si>
  <si>
    <t xml:space="preserve"> &gt; W2 Wage (RT+OT) / Scheduled hrs</t>
  </si>
  <si>
    <t>W2 Pay Rate OT (Over Time)</t>
  </si>
  <si>
    <t xml:space="preserve"> &gt; W2 Bonus / Scheduled Project hrs</t>
  </si>
  <si>
    <t>Bonus Details (W2 Compensation)</t>
  </si>
  <si>
    <t xml:space="preserve"> &gt; Nontaxable Wkly perdiem / Scheduled Wkly hrs</t>
  </si>
  <si>
    <t>Weekly Pay Package (Taxable + Nontaxable)</t>
  </si>
  <si>
    <t>Joining Bonus</t>
  </si>
  <si>
    <t>Blended Hourly Pay Package (Tax + Nontaxable)</t>
  </si>
  <si>
    <t xml:space="preserve"> &gt; W2 Wage (RT+OT based on expected hrs)</t>
  </si>
  <si>
    <t>Extension Bonus</t>
  </si>
  <si>
    <t xml:space="preserve"> &gt; Nontaxable Weekly PerDiem</t>
  </si>
  <si>
    <t>Travel Bonus</t>
  </si>
  <si>
    <t>Offer Guidance – to hit Desired GP</t>
  </si>
  <si>
    <t>Total Weekly Gross Pay Package</t>
  </si>
  <si>
    <t>Who pays for orientation?</t>
  </si>
  <si>
    <t>Soloh</t>
  </si>
  <si>
    <t>Completion Bonus</t>
  </si>
  <si>
    <t>Max Weekly Per Diem  (change | max)</t>
  </si>
  <si>
    <t xml:space="preserve"> - -&gt; Non-billable orientation hours</t>
  </si>
  <si>
    <t>Non-Reimbursable Bonus (Gas, Housing, etc)</t>
  </si>
  <si>
    <t>Max W2 RT Rate  (change | max)</t>
  </si>
  <si>
    <t>Additional Details (If any)</t>
  </si>
  <si>
    <t>Target Net Margin $  (target | gap)</t>
  </si>
  <si>
    <t>Version: Soloh Travel Pay Package Calculator v1.0 (18-18)</t>
  </si>
  <si>
    <t>Admin Use Only</t>
  </si>
  <si>
    <t>Reset / PDF buttons: see the Macro Setup tab. Sheet password: soloh</t>
  </si>
  <si>
    <t>Payroll Load on W2 (Taxes + Overhead) – W2 only</t>
  </si>
  <si>
    <t>Onboarding / Credentialing Cost</t>
  </si>
  <si>
    <t>Desired GP / Net Margin %</t>
  </si>
  <si>
    <t>Yes</t>
  </si>
  <si>
    <t>Client</t>
  </si>
  <si>
    <t>Extension</t>
  </si>
  <si>
    <t>1.25 times RT</t>
  </si>
  <si>
    <t>OT after 48 hrs</t>
  </si>
  <si>
    <t>Vivian Cost $500</t>
  </si>
  <si>
    <t>1.3 times RT</t>
  </si>
  <si>
    <t>Job Boards $1,200</t>
  </si>
  <si>
    <t>1.5 times RT</t>
  </si>
  <si>
    <t>Other</t>
  </si>
  <si>
    <t>Soloh Travel Pay Package Calculator v1.0 – Add Clear/Reset + Save PDF buttons (one-time, ~2 minutes)</t>
  </si>
  <si>
    <t>Optional. The calculator works fully without macros. Do this once in desktop Excel, then share the .xlsm version.</t>
  </si>
  <si>
    <t>Step</t>
  </si>
  <si>
    <t>What to do</t>
  </si>
  <si>
    <t>1</t>
  </si>
  <si>
    <t>Open this workbook in desktop Excel (Windows or Mac).</t>
  </si>
  <si>
    <t>2</t>
  </si>
  <si>
    <t>Press Alt + F11 (Mac: Option + F11, or Tools &gt; Macro &gt; Visual Basic Editor).</t>
  </si>
  <si>
    <t>3</t>
  </si>
  <si>
    <t>In the VBA window: Insert &gt; Module.</t>
  </si>
  <si>
    <t>4</t>
  </si>
  <si>
    <t>Go to the 'Macro Code' tab in this workbook, select cells A3 down to the last line of code (click A3, then Ctrl+Shift+Down), Copy (Ctrl+C).</t>
  </si>
  <si>
    <t>5</t>
  </si>
  <si>
    <t>Click inside the empty Module window in VBA and Paste (Ctrl+V). Close the VBA window.</t>
  </si>
  <si>
    <t>6</t>
  </si>
  <si>
    <t>On the calculator tab: Review &gt; Unprotect Sheet &gt; password: soloh</t>
  </si>
  <si>
    <t>7</t>
  </si>
  <si>
    <t>Developer &gt; Insert &gt; Button (Form Control). No Developer tab? File &gt; Options &gt; Customize Ribbon &gt; tick 'Developer'.</t>
  </si>
  <si>
    <t>8</t>
  </si>
  <si>
    <t>Draw the button near the top-left (B3 area) &gt; select macro 'ResetCalculator' &gt; OK &gt; right-click button &gt; Edit Text &gt; 'Clear / Reset'.</t>
  </si>
  <si>
    <t>9</t>
  </si>
  <si>
    <t>Add a second button next to it &gt; macro 'SaveOfferAsPDF' &gt; text 'Save Offer PDF'.</t>
  </si>
  <si>
    <t>10</t>
  </si>
  <si>
    <t>Review &gt; Protect Sheet &gt; password: soloh</t>
  </si>
  <si>
    <t>11</t>
  </si>
  <si>
    <t>File &gt; Save As &gt; 'Excel Macro-Enabled Workbook (*.xlsm)' &gt; name: Soloh_Travel_Pay_Package_Calculator_v1.0_18Load-18GP.xlsm</t>
  </si>
  <si>
    <t>12</t>
  </si>
  <si>
    <t>Share the .xlsm with recruiters – they click 'Enable Content' when opening. Keep this .xlsx as the no-macro master copy.</t>
  </si>
  <si>
    <t>What the buttons do</t>
  </si>
  <si>
    <t>• Clear / Reset – asks to confirm, then sets every YELLOW cell back to blank/placeholder (MSP 6%, 13 wks, 36 hrs, 12-hr shift, 12 orientation hrs, 'Soloh' pays orientation). Admin settings (18% load, $0 onboarding, 18% GP) are NOT changed.</t>
  </si>
  <si>
    <t>• Save Offer PDF – saves the calculator page as a one-page PDF named Soloh_PayPackage_&lt;Candidate&gt;_&lt;date_time&gt;.pdf in the same folder as the workbook, and opens it.</t>
  </si>
  <si>
    <t>• Macro names to pick when assigning buttons: ResetCalculator  and  SaveOfferAsPDF</t>
  </si>
  <si>
    <t>VBA code – copy cells A3 to the last line and paste into a new Module (Alt+F11 &gt; Insert &gt; Module). Do not edit.</t>
  </si>
  <si>
    <t>' Soloh Travel Pay Package Calculator v1.0 - Reset and Save-as-PDF macros</t>
  </si>
  <si>
    <t>Option Explicit</t>
  </si>
  <si>
    <t>Private Const SHEET_NAME As String = "Pay Package - Rate Calculator"</t>
  </si>
  <si>
    <t>Private Const PWD As String = "soloh"</t>
  </si>
  <si>
    <t>Public Sub ResetCalculator()</t>
  </si>
  <si>
    <t xml:space="preserve">    Dim ws As Worksheet</t>
  </si>
  <si>
    <t xml:space="preserve">    Set ws = ThisWorkbook.Worksheets(SHEET_NAME)</t>
  </si>
  <si>
    <t xml:space="preserve">    If MsgBox("Clear all entries and reset the calculator?", vbYesNo + vbQuestion, "Reset Calculator") &lt;&gt; vbYes Then Exit Sub</t>
  </si>
  <si>
    <t xml:space="preserve">    ws.Unprotect PWD</t>
  </si>
  <si>
    <t xml:space="preserve">    ' Client / job details</t>
  </si>
  <si>
    <t xml:space="preserve">    ws.Range("C6").Value = "&lt;Enter Client Name&gt;"</t>
  </si>
  <si>
    <t xml:space="preserve">    ws.Range("C7").Value = 0.06</t>
  </si>
  <si>
    <t xml:space="preserve">    ws.Range("C10").Value = "&lt;Enter Job Title&gt;"</t>
  </si>
  <si>
    <t xml:space="preserve">    ws.Range("C11").Value = "&lt;99-123459&gt;"</t>
  </si>
  <si>
    <t xml:space="preserve">    ws.Range("C12").Value = "&lt;999999999999&gt;"</t>
  </si>
  <si>
    <t xml:space="preserve">    ws.Range("D13").Value = "None"</t>
  </si>
  <si>
    <t xml:space="preserve">    ' Candidate details</t>
  </si>
  <si>
    <t xml:space="preserve">    ws.Range("G6").Value = "&lt;Enter Candidate Name&gt;"</t>
  </si>
  <si>
    <t xml:space="preserve">    ws.Range("G7").Value = "&lt;Enter Candidate Email&gt;"</t>
  </si>
  <si>
    <t xml:space="preserve">    ws.Range("G8").Value = "&lt;Enter Recruiter Name&gt;"</t>
  </si>
  <si>
    <t xml:space="preserve">    ws.Range("G9").Value = "&lt;Enter Recruiter Email&gt;"</t>
  </si>
  <si>
    <t xml:space="preserve">    ws.Range("G10").Value = ""</t>
  </si>
  <si>
    <t xml:space="preserve">    ' Bill and pay</t>
  </si>
  <si>
    <t xml:space="preserve">    ws.Range("D16").Value = 0</t>
  </si>
  <si>
    <t xml:space="preserve">    ws.Range("D18").Value = 0</t>
  </si>
  <si>
    <t xml:space="preserve">    ws.Range("H16").Value = "New"</t>
  </si>
  <si>
    <t xml:space="preserve">    ws.Range("H17").Value = 0</t>
  </si>
  <si>
    <t xml:space="preserve">    ws.Range("H19").Value = 0</t>
  </si>
  <si>
    <t xml:space="preserve">    ws.Range("H20").Value = 0</t>
  </si>
  <si>
    <t xml:space="preserve">    ' OT policy</t>
  </si>
  <si>
    <t xml:space="preserve">    ws.Range("D23").Value = "No"</t>
  </si>
  <si>
    <t xml:space="preserve">    ws.Range("D24").Value = "No OT (straight)"</t>
  </si>
  <si>
    <t xml:space="preserve">    ws.Range("D25").Value = "OT after 40 hrs"</t>
  </si>
  <si>
    <t xml:space="preserve">    ws.Range("H23").Value = 0</t>
  </si>
  <si>
    <t xml:space="preserve">    ' Contract details</t>
  </si>
  <si>
    <t xml:space="preserve">    ws.Range("D28").Value = 13</t>
  </si>
  <si>
    <t xml:space="preserve">    ws.Range("D29").Value = 36</t>
  </si>
  <si>
    <t xml:space="preserve">    ws.Range("D30").Value = 12</t>
  </si>
  <si>
    <t xml:space="preserve">    ws.Range("D31").Value = "Soloh"</t>
  </si>
  <si>
    <t xml:space="preserve">    ws.Range("D32").Value = 12</t>
  </si>
  <si>
    <t xml:space="preserve">    ' Bonuses and notes</t>
  </si>
  <si>
    <t xml:space="preserve">    ws.Range("H28:H32").Value = 0</t>
  </si>
  <si>
    <t xml:space="preserve">    ws.Range("O33").Value = ""</t>
  </si>
  <si>
    <t xml:space="preserve">    ws.Protect PWD, DrawingObjects:=False, Contents:=True, Scenarios:=True</t>
  </si>
  <si>
    <t xml:space="preserve">    ws.Range("C6").Select</t>
  </si>
  <si>
    <t>End Sub</t>
  </si>
  <si>
    <t>Public Sub SaveOfferAsPDF()</t>
  </si>
  <si>
    <t xml:space="preserve">    Dim ws As Worksheet, f As String, nm As String</t>
  </si>
  <si>
    <t xml:space="preserve">    nm = Trim(ws.Range("G6").Value)</t>
  </si>
  <si>
    <t xml:space="preserve">    If nm = "" Or Left(nm, 1) = "&lt;" Then nm = "Candidate"</t>
  </si>
  <si>
    <t xml:space="preserve">    f = ThisWorkbook.Path</t>
  </si>
  <si>
    <t xml:space="preserve">    If f = "" Then f = Environ("USERPROFILE") &amp; "\Documents"</t>
  </si>
  <si>
    <t xml:space="preserve">    f = f &amp; Application.PathSeparator &amp; "Soloh_PayPackage_" &amp; Replace(nm, " ", "_") &amp; "_" &amp; Format(Now, "yyyy-mm-dd_hhmm") &amp; ".pdf"</t>
  </si>
  <si>
    <t xml:space="preserve">    ws.ExportAsFixedFormat Type:=xlTypePDF, Filename:=f, Quality:=xlQualityStandard, IncludeDocProperties:=True, IgnorePrintAreas:=False, OpenAfterPublish:=True</t>
  </si>
  <si>
    <t xml:space="preserve">    MsgBox "PDF saved:" &amp; vbCrLf &amp; f, vbInformation, "Saved"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</si>
</sst>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0.0%"/>
    <numFmt numFmtId="166" formatCode="0.0%;[Red]\-0.0%"/>
    <numFmt numFmtId="167" formatCode="_(\$* #,##0_);_(\$* \(#,##0\);_(\$* \-??_);_(@_)"/>
  </numFmts>
  <fonts count="20" x14ac:knownFonts="1">
    <font>
      <sz val="11"/>
      <color theme="1"/>
      <name val="Calibri"/>
      <family val="2"/>
      <charset val="1"/>
    </font>
    <font>
      <b/>
      <sz val="11"/>
      <color rgb="FF1F3864"/>
      <name val="Calibri"/>
      <family val="2"/>
    </font>
    <font>
      <b/>
      <sz val="14"/>
      <color rgb="FF000000"/>
      <name val="Calibri"/>
      <family val="2"/>
    </font>
    <font>
      <i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563C1"/>
      <name val="Calibri"/>
      <family val="2"/>
    </font>
    <font>
      <sz val="9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14"/>
      <color rgb="FF1F3864"/>
      <name val="Calibri"/>
      <family val="2"/>
    </font>
    <font>
      <i/>
      <sz val="10"/>
      <color rgb="FF555555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rgb="FFC00000"/>
      <name val="Calibri"/>
      <family val="2"/>
    </font>
    <font>
      <sz val="10"/>
      <color rgb="FF008000"/>
      <name val="Consolas"/>
      <family val="2"/>
    </font>
    <font>
      <sz val="10"/>
      <color rgb="FF000000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6E7"/>
        <bgColor rgb="FF99CCFF"/>
      </patternFill>
    </fill>
    <fill>
      <patternFill patternType="solid">
        <fgColor rgb="FFC6E0B4"/>
        <bgColor rgb="FFC6EFCE"/>
      </patternFill>
    </fill>
    <fill>
      <patternFill patternType="solid">
        <fgColor rgb="FF333F4F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F4B183"/>
        <bgColor rgb="FFFFC7CE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medium">
        <color auto="1"/>
      </right>
      <top style="thin">
        <color rgb="FF80808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8" fillId="2" borderId="5" xfId="0" applyFont="1" applyFill="1" applyBorder="1" applyAlignment="1">
      <alignment vertical="center"/>
    </xf>
    <xf numFmtId="0" fontId="7" fillId="7" borderId="6" xfId="0" applyFont="1" applyFill="1" applyBorder="1" applyAlignment="1" applyProtection="1">
      <alignment vertical="center" wrapText="1"/>
      <protection locked="0"/>
    </xf>
    <xf numFmtId="0" fontId="7" fillId="2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7" fillId="7" borderId="6" xfId="0" applyFont="1" applyFill="1" applyBorder="1" applyAlignment="1" applyProtection="1">
      <alignment vertical="center"/>
      <protection locked="0"/>
    </xf>
    <xf numFmtId="0" fontId="9" fillId="7" borderId="6" xfId="0" applyFont="1" applyFill="1" applyBorder="1" applyAlignment="1" applyProtection="1">
      <alignment vertical="center"/>
      <protection locked="0"/>
    </xf>
    <xf numFmtId="165" fontId="7" fillId="6" borderId="6" xfId="0" applyNumberFormat="1" applyFont="1" applyFill="1" applyBorder="1" applyAlignment="1" applyProtection="1">
      <alignment horizontal="right" vertical="center"/>
      <protection locked="0"/>
    </xf>
    <xf numFmtId="0" fontId="7" fillId="2" borderId="9" xfId="0" applyFont="1" applyFill="1" applyBorder="1" applyAlignment="1">
      <alignment vertical="center"/>
    </xf>
    <xf numFmtId="0" fontId="7" fillId="6" borderId="6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" xfId="0" applyFill="1" applyBorder="1"/>
    <xf numFmtId="0" fontId="0" fillId="2" borderId="4" xfId="0" applyFill="1" applyBorder="1"/>
    <xf numFmtId="0" fontId="7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164" fontId="8" fillId="2" borderId="7" xfId="0" applyNumberFormat="1" applyFont="1" applyFill="1" applyBorder="1" applyAlignment="1">
      <alignment vertical="center"/>
    </xf>
    <xf numFmtId="0" fontId="0" fillId="2" borderId="8" xfId="0" applyFill="1" applyBorder="1"/>
    <xf numFmtId="166" fontId="8" fillId="2" borderId="7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8" fillId="2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vertical="center"/>
    </xf>
    <xf numFmtId="167" fontId="7" fillId="2" borderId="6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8" fillId="8" borderId="6" xfId="0" applyFont="1" applyFill="1" applyBorder="1" applyAlignment="1" applyProtection="1">
      <alignment horizontal="center" vertical="center"/>
      <protection locked="0"/>
    </xf>
    <xf numFmtId="164" fontId="7" fillId="6" borderId="6" xfId="0" applyNumberFormat="1" applyFont="1" applyFill="1" applyBorder="1" applyAlignment="1" applyProtection="1">
      <alignment vertical="center"/>
      <protection locked="0"/>
    </xf>
    <xf numFmtId="0" fontId="7" fillId="6" borderId="6" xfId="0" applyFont="1" applyFill="1" applyBorder="1" applyAlignment="1" applyProtection="1">
      <alignment horizontal="center" vertical="center"/>
      <protection locked="0"/>
    </xf>
    <xf numFmtId="167" fontId="11" fillId="5" borderId="7" xfId="0" applyNumberFormat="1" applyFont="1" applyFill="1" applyBorder="1" applyAlignment="1">
      <alignment vertical="center"/>
    </xf>
    <xf numFmtId="167" fontId="11" fillId="5" borderId="6" xfId="0" applyNumberFormat="1" applyFont="1" applyFill="1" applyBorder="1" applyAlignment="1">
      <alignment vertical="center"/>
    </xf>
    <xf numFmtId="164" fontId="7" fillId="2" borderId="6" xfId="0" applyNumberFormat="1" applyFont="1" applyFill="1" applyBorder="1" applyAlignment="1">
      <alignment vertical="center"/>
    </xf>
    <xf numFmtId="164" fontId="7" fillId="7" borderId="6" xfId="0" applyNumberFormat="1" applyFont="1" applyFill="1" applyBorder="1" applyAlignment="1" applyProtection="1">
      <alignment vertical="center"/>
      <protection locked="0"/>
    </xf>
    <xf numFmtId="1" fontId="7" fillId="2" borderId="6" xfId="0" applyNumberFormat="1" applyFont="1" applyFill="1" applyBorder="1" applyAlignment="1">
      <alignment horizontal="right" vertical="center"/>
    </xf>
    <xf numFmtId="1" fontId="7" fillId="6" borderId="6" xfId="0" applyNumberFormat="1" applyFont="1" applyFill="1" applyBorder="1" applyAlignment="1" applyProtection="1">
      <alignment horizontal="center" vertical="center"/>
      <protection locked="0"/>
    </xf>
    <xf numFmtId="164" fontId="8" fillId="2" borderId="6" xfId="0" applyNumberFormat="1" applyFont="1" applyFill="1" applyBorder="1" applyAlignment="1">
      <alignment vertical="center"/>
    </xf>
    <xf numFmtId="49" fontId="7" fillId="6" borderId="6" xfId="0" applyNumberFormat="1" applyFont="1" applyFill="1" applyBorder="1" applyAlignment="1" applyProtection="1">
      <alignment horizontal="center" vertical="center"/>
      <protection locked="0"/>
    </xf>
    <xf numFmtId="167" fontId="3" fillId="2" borderId="7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1" fontId="7" fillId="7" borderId="14" xfId="0" applyNumberFormat="1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>
      <alignment vertical="center"/>
    </xf>
    <xf numFmtId="164" fontId="7" fillId="7" borderId="14" xfId="0" applyNumberFormat="1" applyFont="1" applyFill="1" applyBorder="1" applyAlignment="1" applyProtection="1">
      <alignment vertical="center"/>
      <protection locked="0"/>
    </xf>
    <xf numFmtId="167" fontId="8" fillId="2" borderId="6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/>
    <xf numFmtId="0" fontId="14" fillId="0" borderId="0" xfId="0" applyFont="1"/>
    <xf numFmtId="0" fontId="5" fillId="5" borderId="0" xfId="0" applyFont="1" applyFill="1"/>
    <xf numFmtId="0" fontId="6" fillId="0" borderId="0" xfId="0" applyFont="1" applyAlignment="1">
      <alignment horizontal="center" vertical="top"/>
    </xf>
    <xf numFmtId="0" fontId="15" fillId="0" borderId="0" xfId="0" applyFont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164" fontId="7" fillId="6" borderId="6" xfId="0" applyNumberFormat="1" applyFont="1" applyFill="1" applyBorder="1" applyAlignment="1" applyProtection="1">
      <alignment vertical="center"/>
      <protection locked="0"/>
    </xf>
    <xf numFmtId="0" fontId="5" fillId="5" borderId="9" xfId="0" applyFont="1" applyFill="1" applyBorder="1" applyAlignment="1">
      <alignment vertical="center"/>
    </xf>
    <xf numFmtId="0" fontId="7" fillId="7" borderId="15" xfId="0" applyFont="1" applyFill="1" applyBorder="1" applyAlignment="1" applyProtection="1">
      <alignment vertical="center" wrapText="1"/>
      <protection locked="0"/>
    </xf>
    <xf numFmtId="165" fontId="7" fillId="6" borderId="6" xfId="0" applyNumberFormat="1" applyFont="1" applyFill="1" applyBorder="1" applyAlignment="1" applyProtection="1">
      <alignment horizontal="center" vertical="center"/>
      <protection locked="0"/>
    </xf>
    <xf numFmtId="164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>
      <alignment vertical="center"/>
    </xf>
    <xf numFmtId="165" fontId="7" fillId="6" borderId="14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4">
    <dxf>
      <font>
        <b/>
        <color rgb="FFC00000"/>
      </font>
    </dxf>
    <dxf>
      <font>
        <b/>
        <color rgb="FFC00000"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1"/>
  <sheetViews>
    <sheetView showGridLines="0" tabSelected="1" topLeftCell="C1" zoomScaleNormal="100" workbookViewId="0">
      <selection activeCell="H17" sqref="H17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3" width="12" customWidth="1"/>
    <col min="4" max="4" width="20" customWidth="1"/>
    <col min="5" max="5" width="3" customWidth="1"/>
    <col min="6" max="6" width="34" customWidth="1"/>
    <col min="7" max="7" width="12" customWidth="1"/>
    <col min="8" max="8" width="16" customWidth="1"/>
    <col min="9" max="9" width="3" customWidth="1"/>
    <col min="10" max="10" width="30" customWidth="1"/>
    <col min="11" max="11" width="14" customWidth="1"/>
    <col min="12" max="13" width="15" customWidth="1"/>
    <col min="14" max="14" width="3" customWidth="1"/>
    <col min="15" max="15" width="24" customWidth="1"/>
    <col min="16" max="16" width="10" customWidth="1"/>
    <col min="17" max="17" width="12" customWidth="1"/>
    <col min="18" max="18" width="16" customWidth="1"/>
  </cols>
  <sheetData>
    <row r="1" spans="1:29" ht="16.5" customHeight="1" x14ac:dyDescent="0.2">
      <c r="A1" s="15"/>
      <c r="B1" s="16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16.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24" customHeight="1" x14ac:dyDescent="0.2">
      <c r="A3" s="15"/>
      <c r="B3" s="17" t="s">
        <v>1</v>
      </c>
      <c r="C3" s="15"/>
      <c r="D3" s="15"/>
      <c r="E3" s="18" t="s">
        <v>2</v>
      </c>
      <c r="F3" s="15"/>
      <c r="G3" s="15"/>
      <c r="H3" s="15"/>
      <c r="I3" s="15"/>
      <c r="J3" s="14" t="s">
        <v>3</v>
      </c>
      <c r="K3" s="14"/>
      <c r="L3" s="14"/>
      <c r="M3" s="14"/>
      <c r="N3" s="15"/>
      <c r="O3" s="14" t="s">
        <v>4</v>
      </c>
      <c r="P3" s="14"/>
      <c r="Q3" s="14"/>
      <c r="R3" s="14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16.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6.5" customHeight="1" x14ac:dyDescent="0.2">
      <c r="A5" s="15"/>
      <c r="B5" s="13" t="s">
        <v>5</v>
      </c>
      <c r="C5" s="13"/>
      <c r="D5" s="13"/>
      <c r="E5" s="15"/>
      <c r="F5" s="12" t="s">
        <v>6</v>
      </c>
      <c r="G5" s="12"/>
      <c r="H5" s="12"/>
      <c r="I5" s="15"/>
      <c r="J5" s="11" t="s">
        <v>7</v>
      </c>
      <c r="K5" s="11"/>
      <c r="L5" s="19"/>
      <c r="M5" s="20"/>
      <c r="N5" s="15"/>
      <c r="O5" s="10" t="s">
        <v>8</v>
      </c>
      <c r="P5" s="10"/>
      <c r="Q5" s="10"/>
      <c r="R5" s="10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6.5" customHeight="1" x14ac:dyDescent="0.2">
      <c r="A6" s="15"/>
      <c r="B6" s="21" t="s">
        <v>9</v>
      </c>
      <c r="C6" s="9" t="s">
        <v>10</v>
      </c>
      <c r="D6" s="9"/>
      <c r="E6" s="15"/>
      <c r="F6" s="21" t="s">
        <v>11</v>
      </c>
      <c r="G6" s="9"/>
      <c r="H6" s="9"/>
      <c r="I6" s="15"/>
      <c r="J6" s="22" t="s">
        <v>12</v>
      </c>
      <c r="K6" s="23">
        <f>IFERROR(M22/(D28*D29),0)</f>
        <v>0</v>
      </c>
      <c r="L6" s="15"/>
      <c r="M6" s="24"/>
      <c r="N6" s="15"/>
      <c r="O6" s="8" t="str">
        <f>IF(OR(C6="",LEFT(C6,1)="&lt;"),"*** Error - Must Enter Client Name","Client Name: "&amp;C6)</f>
        <v>Client Name: Rightsourcing - Norton HealthCare</v>
      </c>
      <c r="P6" s="8"/>
      <c r="Q6" s="8"/>
      <c r="R6" s="8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6.5" customHeight="1" x14ac:dyDescent="0.2">
      <c r="A7" s="15"/>
      <c r="B7" s="21" t="s">
        <v>13</v>
      </c>
      <c r="C7" s="7">
        <v>0.06</v>
      </c>
      <c r="D7" s="7"/>
      <c r="E7" s="15"/>
      <c r="F7" s="21" t="s">
        <v>14</v>
      </c>
      <c r="G7" s="6"/>
      <c r="H7" s="6"/>
      <c r="I7" s="15"/>
      <c r="J7" s="22" t="s">
        <v>15</v>
      </c>
      <c r="K7" s="25">
        <f>IFERROR(L22/SUM(L10:L11),0)</f>
        <v>0</v>
      </c>
      <c r="L7" s="15"/>
      <c r="M7" s="24"/>
      <c r="N7" s="15"/>
      <c r="O7" s="8" t="str">
        <f>IF(OR(C10="",LEFT(C10,1)="&lt;"),"*** Error - Must Enter Job Title","Job Title: "&amp;C10)</f>
        <v>Job Title: RN - Telemetry (Nights)</v>
      </c>
      <c r="P7" s="8"/>
      <c r="Q7" s="8"/>
      <c r="R7" s="8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6.5" customHeight="1" x14ac:dyDescent="0.2">
      <c r="A8" s="15"/>
      <c r="B8" s="26"/>
      <c r="C8" s="15"/>
      <c r="D8" s="24"/>
      <c r="E8" s="15"/>
      <c r="F8" s="21" t="s">
        <v>16</v>
      </c>
      <c r="G8" s="5"/>
      <c r="H8" s="5"/>
      <c r="I8" s="15"/>
      <c r="J8" s="22" t="s">
        <v>17</v>
      </c>
      <c r="K8" s="27" t="str">
        <f>IF(K7&gt;=L37,"YES","NO")</f>
        <v>NO</v>
      </c>
      <c r="L8" s="15"/>
      <c r="M8" s="24"/>
      <c r="N8" s="15"/>
      <c r="O8" s="8" t="str">
        <f>IF(OR(C11="",LEFT(C11,1)="&lt;"),"JobDiva Ref #: Not provided","JobDiva Ref #: "&amp;C11)</f>
        <v>JobDiva Ref #: Not provided</v>
      </c>
      <c r="P8" s="8"/>
      <c r="Q8" s="8"/>
      <c r="R8" s="8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6.5" customHeight="1" x14ac:dyDescent="0.2">
      <c r="A9" s="15"/>
      <c r="B9" s="4" t="s">
        <v>18</v>
      </c>
      <c r="C9" s="4"/>
      <c r="D9" s="4"/>
      <c r="E9" s="15"/>
      <c r="F9" s="21" t="s">
        <v>19</v>
      </c>
      <c r="G9" s="6"/>
      <c r="H9" s="6"/>
      <c r="I9" s="15"/>
      <c r="J9" s="26"/>
      <c r="K9" s="15"/>
      <c r="L9" s="28" t="s">
        <v>20</v>
      </c>
      <c r="M9" s="29" t="s">
        <v>21</v>
      </c>
      <c r="N9" s="15"/>
      <c r="O9" s="8" t="str">
        <f>IF(OR(C12="",LEFT(C12,1)="&lt;"),"Client Job #: Not provided","Client Job #: "&amp;C12)</f>
        <v>Client Job #: 37658611</v>
      </c>
      <c r="P9" s="8"/>
      <c r="Q9" s="8"/>
      <c r="R9" s="8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6.5" customHeight="1" x14ac:dyDescent="0.2">
      <c r="A10" s="15"/>
      <c r="B10" s="21" t="s">
        <v>22</v>
      </c>
      <c r="C10" s="9" t="s">
        <v>23</v>
      </c>
      <c r="D10" s="9"/>
      <c r="E10" s="15"/>
      <c r="F10" s="3" t="s">
        <v>24</v>
      </c>
      <c r="G10" s="2"/>
      <c r="H10" s="2"/>
      <c r="I10" s="15"/>
      <c r="J10" s="1" t="s">
        <v>25</v>
      </c>
      <c r="K10" s="1"/>
      <c r="L10" s="30">
        <f>IF(D23="Yes",MIN(D29,IFERROR(INDEX(Lists!$G$1:$G$2,MATCH(D25,Lists!$F$1:$F$2,0)),40)),D29)*D16</f>
        <v>0</v>
      </c>
      <c r="M10" s="31">
        <f>L10*$D$28</f>
        <v>0</v>
      </c>
      <c r="N10" s="15"/>
      <c r="O10" s="26"/>
      <c r="P10" s="15"/>
      <c r="Q10" s="15"/>
      <c r="R10" s="24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6.5" customHeight="1" x14ac:dyDescent="0.2">
      <c r="A11" s="15"/>
      <c r="B11" s="21" t="s">
        <v>26</v>
      </c>
      <c r="C11" s="5" t="s">
        <v>27</v>
      </c>
      <c r="D11" s="5"/>
      <c r="E11" s="15"/>
      <c r="F11" s="3"/>
      <c r="G11" s="2"/>
      <c r="H11" s="2"/>
      <c r="I11" s="15"/>
      <c r="J11" s="1" t="s">
        <v>28</v>
      </c>
      <c r="K11" s="1"/>
      <c r="L11" s="30">
        <f>(D29-IF(D23="Yes",MIN(D29,IFERROR(INDEX(Lists!$G$1:$G$2,MATCH(D25,Lists!$F$1:$F$2,0)),40)),D29))*D17</f>
        <v>0</v>
      </c>
      <c r="M11" s="31">
        <f>L11*$D$28</f>
        <v>0</v>
      </c>
      <c r="N11" s="15"/>
      <c r="O11" s="61" t="s">
        <v>29</v>
      </c>
      <c r="P11" s="61"/>
      <c r="Q11" s="61"/>
      <c r="R11" s="61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6.5" customHeight="1" x14ac:dyDescent="0.2">
      <c r="A12" s="15"/>
      <c r="B12" s="21" t="s">
        <v>30</v>
      </c>
      <c r="C12" s="5" t="s">
        <v>31</v>
      </c>
      <c r="D12" s="5"/>
      <c r="E12" s="15"/>
      <c r="F12" s="3"/>
      <c r="G12" s="2"/>
      <c r="H12" s="2"/>
      <c r="I12" s="15"/>
      <c r="J12" s="1" t="s">
        <v>32</v>
      </c>
      <c r="K12" s="1"/>
      <c r="L12" s="30">
        <f>MIN(D29,40)*H17</f>
        <v>0</v>
      </c>
      <c r="M12" s="31">
        <f>L12*$D$28</f>
        <v>0</v>
      </c>
      <c r="N12" s="15"/>
      <c r="O12" s="62" t="s">
        <v>33</v>
      </c>
      <c r="P12" s="62"/>
      <c r="Q12" s="62"/>
      <c r="R12" s="62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6.5" customHeight="1" x14ac:dyDescent="0.2">
      <c r="A13" s="15"/>
      <c r="B13" s="21" t="s">
        <v>34</v>
      </c>
      <c r="C13" s="32"/>
      <c r="D13" s="33" t="s">
        <v>35</v>
      </c>
      <c r="E13" s="15"/>
      <c r="F13" s="3"/>
      <c r="G13" s="2"/>
      <c r="H13" s="2"/>
      <c r="I13" s="15"/>
      <c r="J13" s="1" t="s">
        <v>36</v>
      </c>
      <c r="K13" s="1"/>
      <c r="L13" s="30">
        <f>MAX(D29-40,0)*H18</f>
        <v>0</v>
      </c>
      <c r="M13" s="31">
        <f>L13*$D$28</f>
        <v>0</v>
      </c>
      <c r="N13" s="15"/>
      <c r="O13" s="26"/>
      <c r="P13" s="15"/>
      <c r="Q13" s="15"/>
      <c r="R13" s="2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6.5" customHeight="1" x14ac:dyDescent="0.2">
      <c r="A14" s="15"/>
      <c r="B14" s="26"/>
      <c r="C14" s="15"/>
      <c r="D14" s="24"/>
      <c r="E14" s="15"/>
      <c r="F14" s="26"/>
      <c r="G14" s="15"/>
      <c r="H14" s="24"/>
      <c r="I14" s="15"/>
      <c r="J14" s="1" t="s">
        <v>37</v>
      </c>
      <c r="K14" s="1"/>
      <c r="L14" s="30">
        <f>M14/$D$28</f>
        <v>0</v>
      </c>
      <c r="M14" s="31">
        <f>SUM(H28:H32)</f>
        <v>0</v>
      </c>
      <c r="N14" s="15"/>
      <c r="O14" s="63" t="s">
        <v>6</v>
      </c>
      <c r="P14" s="63"/>
      <c r="Q14" s="63"/>
      <c r="R14" s="63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6.5" customHeight="1" x14ac:dyDescent="0.2">
      <c r="A15" s="15"/>
      <c r="B15" s="4" t="s">
        <v>38</v>
      </c>
      <c r="C15" s="4"/>
      <c r="D15" s="4"/>
      <c r="E15" s="15"/>
      <c r="F15" s="64" t="s">
        <v>39</v>
      </c>
      <c r="G15" s="64"/>
      <c r="H15" s="64"/>
      <c r="I15" s="15"/>
      <c r="J15" s="1" t="s">
        <v>40</v>
      </c>
      <c r="K15" s="1"/>
      <c r="L15" s="30">
        <f>H19</f>
        <v>0</v>
      </c>
      <c r="M15" s="31">
        <f>L15*$D$28</f>
        <v>0</v>
      </c>
      <c r="N15" s="15"/>
      <c r="O15" s="8" t="str">
        <f>IF(OR(G6="",LEFT(G6,1)="&lt;"),"*** Error - Must Enter Candidate Name",G6)</f>
        <v>*** Error - Must Enter Candidate Name</v>
      </c>
      <c r="P15" s="8"/>
      <c r="Q15" s="8"/>
      <c r="R15" s="8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6.5" customHeight="1" x14ac:dyDescent="0.2">
      <c r="A16" s="15"/>
      <c r="B16" s="21" t="s">
        <v>41</v>
      </c>
      <c r="C16" s="32"/>
      <c r="D16" s="34"/>
      <c r="E16" s="15"/>
      <c r="F16" s="21" t="s">
        <v>42</v>
      </c>
      <c r="G16" s="32"/>
      <c r="H16" s="35" t="s">
        <v>43</v>
      </c>
      <c r="I16" s="15"/>
      <c r="J16" s="65" t="s">
        <v>44</v>
      </c>
      <c r="K16" s="65"/>
      <c r="L16" s="36">
        <f>SUM(L10:L11)-SUM(L12:L15)</f>
        <v>0</v>
      </c>
      <c r="M16" s="37">
        <f>SUM(M10:M11)-SUM(M12:M15)</f>
        <v>0</v>
      </c>
      <c r="N16" s="15"/>
      <c r="O16" s="8" t="str">
        <f>IF(OR(G7="",LEFT(G7,1)="&lt;"),"Email: Not provided","Email: "&amp;G7)</f>
        <v>Email: Not provided</v>
      </c>
      <c r="P16" s="8"/>
      <c r="Q16" s="8"/>
      <c r="R16" s="8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6.5" customHeight="1" x14ac:dyDescent="0.2">
      <c r="A17" s="15"/>
      <c r="B17" s="21" t="s">
        <v>45</v>
      </c>
      <c r="C17" s="32"/>
      <c r="D17" s="38">
        <f>D16*IF(D23="Yes",IFERROR(INDEX(Lists!$E$1:$E$4,MATCH(D24,Lists!$D$1:$D$4,0)),1),1)</f>
        <v>0</v>
      </c>
      <c r="E17" s="15"/>
      <c r="F17" s="21" t="s">
        <v>46</v>
      </c>
      <c r="G17" s="32"/>
      <c r="H17" s="34"/>
      <c r="I17" s="15"/>
      <c r="J17" s="26"/>
      <c r="K17" s="15"/>
      <c r="L17" s="15"/>
      <c r="M17" s="24"/>
      <c r="N17" s="15"/>
      <c r="O17" s="26"/>
      <c r="P17" s="15"/>
      <c r="Q17" s="15"/>
      <c r="R17" s="2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6.5" customHeight="1" x14ac:dyDescent="0.2">
      <c r="A18" s="15"/>
      <c r="B18" s="21" t="s">
        <v>47</v>
      </c>
      <c r="C18" s="32"/>
      <c r="D18" s="39">
        <v>0</v>
      </c>
      <c r="E18" s="15"/>
      <c r="F18" s="21" t="s">
        <v>48</v>
      </c>
      <c r="G18" s="32"/>
      <c r="H18" s="38">
        <f>IF(H23&gt;0,H23,H17*1.5)</f>
        <v>0</v>
      </c>
      <c r="I18" s="15"/>
      <c r="J18" s="1" t="s">
        <v>49</v>
      </c>
      <c r="K18" s="1"/>
      <c r="L18" s="30">
        <f>SUM(L10:L11)*$C$7</f>
        <v>0</v>
      </c>
      <c r="M18" s="31">
        <f>SUM(M10:M11)*$C$7</f>
        <v>0</v>
      </c>
      <c r="N18" s="15"/>
      <c r="O18" s="63" t="s">
        <v>50</v>
      </c>
      <c r="P18" s="63"/>
      <c r="Q18" s="63"/>
      <c r="R18" s="63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6.5" customHeight="1" x14ac:dyDescent="0.2">
      <c r="A19" s="15"/>
      <c r="B19" s="26"/>
      <c r="C19" s="15"/>
      <c r="D19" s="24"/>
      <c r="E19" s="15"/>
      <c r="F19" s="21" t="s">
        <v>51</v>
      </c>
      <c r="G19" s="32"/>
      <c r="H19" s="34"/>
      <c r="I19" s="15"/>
      <c r="J19" s="1" t="s">
        <v>52</v>
      </c>
      <c r="K19" s="1"/>
      <c r="L19" s="30">
        <f>SUM(L12:L14)*$L$35</f>
        <v>0</v>
      </c>
      <c r="M19" s="31">
        <f>SUM(M12:M14)*$L$35</f>
        <v>0</v>
      </c>
      <c r="N19" s="15"/>
      <c r="O19" s="66" t="s">
        <v>53</v>
      </c>
      <c r="P19" s="66"/>
      <c r="Q19" s="66"/>
      <c r="R19" s="40">
        <f>D28</f>
        <v>13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6.5" customHeight="1" x14ac:dyDescent="0.2">
      <c r="A20" s="15"/>
      <c r="B20" s="26"/>
      <c r="C20" s="15"/>
      <c r="D20" s="24"/>
      <c r="E20" s="15"/>
      <c r="F20" s="21" t="s">
        <v>54</v>
      </c>
      <c r="G20" s="32"/>
      <c r="H20" s="39">
        <v>0</v>
      </c>
      <c r="I20" s="15"/>
      <c r="J20" s="1" t="s">
        <v>55</v>
      </c>
      <c r="K20" s="1"/>
      <c r="L20" s="30">
        <f>M20/$D$28</f>
        <v>0</v>
      </c>
      <c r="M20" s="31">
        <f>IFERROR(INDEX(Lists!$I$1:$I$4,MATCH(D13,Lists!$H$1:$H$4,0)),0)+IF(H16="New",L36,0)</f>
        <v>0</v>
      </c>
      <c r="N20" s="15"/>
      <c r="O20" s="66" t="s">
        <v>56</v>
      </c>
      <c r="P20" s="66"/>
      <c r="Q20" s="66"/>
      <c r="R20" s="40">
        <f>D29</f>
        <v>36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6.5" customHeight="1" x14ac:dyDescent="0.2">
      <c r="A21" s="15"/>
      <c r="B21" s="26"/>
      <c r="C21" s="15"/>
      <c r="D21" s="24"/>
      <c r="E21" s="15"/>
      <c r="F21" s="26"/>
      <c r="G21" s="15"/>
      <c r="H21" s="24"/>
      <c r="I21" s="15"/>
      <c r="J21" s="1" t="s">
        <v>57</v>
      </c>
      <c r="K21" s="1"/>
      <c r="L21" s="30">
        <f>M21/$D$28</f>
        <v>0</v>
      </c>
      <c r="M21" s="31">
        <f>IF(D31="Soloh",D32*D16*(1-$C$7),0)</f>
        <v>0</v>
      </c>
      <c r="N21" s="15"/>
      <c r="O21" s="66" t="s">
        <v>58</v>
      </c>
      <c r="P21" s="66"/>
      <c r="Q21" s="66"/>
      <c r="R21" s="40">
        <f>D30</f>
        <v>12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6.5" customHeight="1" x14ac:dyDescent="0.2">
      <c r="A22" s="15"/>
      <c r="B22" s="4" t="s">
        <v>59</v>
      </c>
      <c r="C22" s="4"/>
      <c r="D22" s="4"/>
      <c r="E22" s="15"/>
      <c r="F22" s="64" t="s">
        <v>60</v>
      </c>
      <c r="G22" s="64"/>
      <c r="H22" s="64"/>
      <c r="I22" s="15"/>
      <c r="J22" s="65" t="s">
        <v>61</v>
      </c>
      <c r="K22" s="65"/>
      <c r="L22" s="36">
        <f>L16-SUM(L18:L21)</f>
        <v>0</v>
      </c>
      <c r="M22" s="37">
        <f>M16-SUM(M18:M21)</f>
        <v>0</v>
      </c>
      <c r="N22" s="15"/>
      <c r="O22" s="26"/>
      <c r="P22" s="15"/>
      <c r="Q22" s="15"/>
      <c r="R22" s="24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6.5" customHeight="1" x14ac:dyDescent="0.2">
      <c r="A23" s="15"/>
      <c r="B23" s="21" t="s">
        <v>62</v>
      </c>
      <c r="C23" s="32"/>
      <c r="D23" s="35" t="s">
        <v>63</v>
      </c>
      <c r="E23" s="15"/>
      <c r="F23" s="67" t="s">
        <v>64</v>
      </c>
      <c r="G23" s="67"/>
      <c r="H23" s="68"/>
      <c r="I23" s="15"/>
      <c r="J23" s="26"/>
      <c r="K23" s="15"/>
      <c r="L23" s="15"/>
      <c r="M23" s="24"/>
      <c r="N23" s="15"/>
      <c r="O23" s="63" t="s">
        <v>65</v>
      </c>
      <c r="P23" s="63"/>
      <c r="Q23" s="63"/>
      <c r="R23" s="63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6.5" customHeight="1" x14ac:dyDescent="0.2">
      <c r="A24" s="15"/>
      <c r="B24" s="21" t="s">
        <v>66</v>
      </c>
      <c r="C24" s="32"/>
      <c r="D24" s="35" t="s">
        <v>67</v>
      </c>
      <c r="E24" s="15"/>
      <c r="F24" s="67"/>
      <c r="G24" s="67"/>
      <c r="H24" s="68"/>
      <c r="I24" s="15"/>
      <c r="J24" s="69" t="s">
        <v>68</v>
      </c>
      <c r="K24" s="69"/>
      <c r="L24" s="69"/>
      <c r="M24" s="69"/>
      <c r="N24" s="15"/>
      <c r="O24" s="66" t="s">
        <v>46</v>
      </c>
      <c r="P24" s="66"/>
      <c r="Q24" s="66"/>
      <c r="R24" s="38">
        <f>H17</f>
        <v>0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6.5" customHeight="1" x14ac:dyDescent="0.2">
      <c r="A25" s="15"/>
      <c r="B25" s="21" t="s">
        <v>69</v>
      </c>
      <c r="C25" s="32"/>
      <c r="D25" s="35" t="s">
        <v>104</v>
      </c>
      <c r="E25" s="15"/>
      <c r="F25" s="26"/>
      <c r="G25" s="15"/>
      <c r="H25" s="24"/>
      <c r="I25" s="15"/>
      <c r="J25" s="66" t="s">
        <v>71</v>
      </c>
      <c r="K25" s="66"/>
      <c r="L25" s="66"/>
      <c r="M25" s="38">
        <f>IFERROR((M12+M13)/(D28*D29),0)</f>
        <v>0</v>
      </c>
      <c r="N25" s="15"/>
      <c r="O25" s="66" t="s">
        <v>72</v>
      </c>
      <c r="P25" s="66"/>
      <c r="Q25" s="66"/>
      <c r="R25" s="38">
        <f>H18</f>
        <v>0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6.5" customHeight="1" x14ac:dyDescent="0.2">
      <c r="A26" s="15"/>
      <c r="B26" s="26"/>
      <c r="C26" s="15"/>
      <c r="D26" s="24"/>
      <c r="E26" s="15"/>
      <c r="F26" s="26"/>
      <c r="G26" s="15"/>
      <c r="H26" s="24"/>
      <c r="I26" s="15"/>
      <c r="J26" s="66" t="s">
        <v>73</v>
      </c>
      <c r="K26" s="66"/>
      <c r="L26" s="66"/>
      <c r="M26" s="38">
        <f>IFERROR(M14/(D28*D29),0)</f>
        <v>0</v>
      </c>
      <c r="N26" s="15"/>
      <c r="O26" s="26"/>
      <c r="P26" s="15"/>
      <c r="Q26" s="15"/>
      <c r="R26" s="24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6.5" customHeight="1" x14ac:dyDescent="0.2">
      <c r="A27" s="15"/>
      <c r="B27" s="4" t="s">
        <v>50</v>
      </c>
      <c r="C27" s="4"/>
      <c r="D27" s="4"/>
      <c r="E27" s="15"/>
      <c r="F27" s="64" t="s">
        <v>74</v>
      </c>
      <c r="G27" s="64"/>
      <c r="H27" s="64"/>
      <c r="I27" s="15"/>
      <c r="J27" s="66" t="s">
        <v>75</v>
      </c>
      <c r="K27" s="66"/>
      <c r="L27" s="66"/>
      <c r="M27" s="38">
        <f>IFERROR(M15/(D28*D29),0)</f>
        <v>0</v>
      </c>
      <c r="N27" s="15"/>
      <c r="O27" s="63" t="s">
        <v>76</v>
      </c>
      <c r="P27" s="63"/>
      <c r="Q27" s="63"/>
      <c r="R27" s="63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6.5" customHeight="1" x14ac:dyDescent="0.2">
      <c r="A28" s="15"/>
      <c r="B28" s="21" t="s">
        <v>53</v>
      </c>
      <c r="C28" s="32"/>
      <c r="D28" s="41">
        <v>13</v>
      </c>
      <c r="E28" s="15"/>
      <c r="F28" s="21" t="s">
        <v>77</v>
      </c>
      <c r="G28" s="32"/>
      <c r="H28" s="39">
        <v>0</v>
      </c>
      <c r="I28" s="15"/>
      <c r="J28" s="1" t="s">
        <v>78</v>
      </c>
      <c r="K28" s="1"/>
      <c r="L28" s="1"/>
      <c r="M28" s="42">
        <f>SUM(M25:M27)</f>
        <v>0</v>
      </c>
      <c r="N28" s="15"/>
      <c r="O28" s="66" t="s">
        <v>79</v>
      </c>
      <c r="P28" s="66"/>
      <c r="Q28" s="66"/>
      <c r="R28" s="38">
        <f>L12+L13</f>
        <v>0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6.5" customHeight="1" x14ac:dyDescent="0.2">
      <c r="A29" s="15"/>
      <c r="B29" s="21" t="s">
        <v>56</v>
      </c>
      <c r="C29" s="32"/>
      <c r="D29" s="41">
        <v>36</v>
      </c>
      <c r="E29" s="15"/>
      <c r="F29" s="21" t="s">
        <v>80</v>
      </c>
      <c r="G29" s="32"/>
      <c r="H29" s="39">
        <v>0</v>
      </c>
      <c r="I29" s="15"/>
      <c r="J29" s="26"/>
      <c r="K29" s="15"/>
      <c r="L29" s="15"/>
      <c r="M29" s="24"/>
      <c r="N29" s="15"/>
      <c r="O29" s="66" t="s">
        <v>81</v>
      </c>
      <c r="P29" s="66"/>
      <c r="Q29" s="66"/>
      <c r="R29" s="38">
        <f>L15</f>
        <v>0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6.5" customHeight="1" x14ac:dyDescent="0.2">
      <c r="A30" s="15"/>
      <c r="B30" s="21" t="s">
        <v>58</v>
      </c>
      <c r="C30" s="32"/>
      <c r="D30" s="41">
        <v>12</v>
      </c>
      <c r="E30" s="15"/>
      <c r="F30" s="21" t="s">
        <v>82</v>
      </c>
      <c r="G30" s="32"/>
      <c r="H30" s="39">
        <v>0</v>
      </c>
      <c r="I30" s="15"/>
      <c r="J30" s="69" t="s">
        <v>83</v>
      </c>
      <c r="K30" s="69"/>
      <c r="L30" s="69"/>
      <c r="M30" s="69"/>
      <c r="N30" s="15"/>
      <c r="O30" s="1" t="s">
        <v>84</v>
      </c>
      <c r="P30" s="1"/>
      <c r="Q30" s="1"/>
      <c r="R30" s="42">
        <f>R28+R29</f>
        <v>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6.5" customHeight="1" x14ac:dyDescent="0.2">
      <c r="A31" s="15"/>
      <c r="B31" s="21" t="s">
        <v>85</v>
      </c>
      <c r="C31" s="32"/>
      <c r="D31" s="43" t="s">
        <v>86</v>
      </c>
      <c r="E31" s="15"/>
      <c r="F31" s="21" t="s">
        <v>87</v>
      </c>
      <c r="G31" s="32"/>
      <c r="H31" s="39">
        <v>0</v>
      </c>
      <c r="I31" s="15"/>
      <c r="J31" s="1" t="s">
        <v>88</v>
      </c>
      <c r="K31" s="1"/>
      <c r="L31" s="44">
        <f>M31-H19</f>
        <v>0</v>
      </c>
      <c r="M31" s="42">
        <f>IFERROR((SUM(M10:M11)*(1-$C$7-$L$37)-SUM(M12:M14)*(1+$L$35)-M20-M21)/$D$28,0)</f>
        <v>0</v>
      </c>
      <c r="N31" s="15"/>
      <c r="O31" s="26"/>
      <c r="P31" s="15"/>
      <c r="Q31" s="15"/>
      <c r="R31" s="24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6.5" customHeight="1" x14ac:dyDescent="0.2">
      <c r="A32" s="15"/>
      <c r="B32" s="45" t="s">
        <v>89</v>
      </c>
      <c r="C32" s="46"/>
      <c r="D32" s="47"/>
      <c r="E32" s="15"/>
      <c r="F32" s="48" t="s">
        <v>90</v>
      </c>
      <c r="G32" s="46"/>
      <c r="H32" s="49">
        <v>0</v>
      </c>
      <c r="I32" s="15"/>
      <c r="J32" s="1" t="s">
        <v>91</v>
      </c>
      <c r="K32" s="1"/>
      <c r="L32" s="44">
        <f>M32-H17</f>
        <v>0</v>
      </c>
      <c r="M32" s="42">
        <f>IFERROR((SUM(M10:M11)*(1-$C$7-$L$37)-M15-M14*(1+$L$35)-M20-M21)/((1+$L$35)*$D$28*(MIN(D29,40)+MAX(D29-40,0)*H18/H17)),0)</f>
        <v>0</v>
      </c>
      <c r="N32" s="15"/>
      <c r="O32" s="63" t="s">
        <v>92</v>
      </c>
      <c r="P32" s="63"/>
      <c r="Q32" s="63"/>
      <c r="R32" s="63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6.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" t="s">
        <v>93</v>
      </c>
      <c r="K33" s="1"/>
      <c r="L33" s="30">
        <f>SUM(M10:M11)*$L$37</f>
        <v>0</v>
      </c>
      <c r="M33" s="50">
        <f>M22-L33</f>
        <v>0</v>
      </c>
      <c r="N33" s="15"/>
      <c r="O33" s="70"/>
      <c r="P33" s="70"/>
      <c r="Q33" s="70"/>
      <c r="R33" s="70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6.5" customHeight="1" x14ac:dyDescent="0.2">
      <c r="A34" s="15"/>
      <c r="B34" s="51" t="s">
        <v>94</v>
      </c>
      <c r="C34" s="15"/>
      <c r="D34" s="15"/>
      <c r="E34" s="15"/>
      <c r="F34" s="15"/>
      <c r="G34" s="15"/>
      <c r="H34" s="15"/>
      <c r="I34" s="15"/>
      <c r="J34" s="69" t="s">
        <v>95</v>
      </c>
      <c r="K34" s="69"/>
      <c r="L34" s="69"/>
      <c r="M34" s="69"/>
      <c r="N34" s="15"/>
      <c r="O34" s="70"/>
      <c r="P34" s="70"/>
      <c r="Q34" s="70"/>
      <c r="R34" s="70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6.5" customHeight="1" x14ac:dyDescent="0.2">
      <c r="A35" s="15"/>
      <c r="B35" s="51" t="s">
        <v>96</v>
      </c>
      <c r="C35" s="15"/>
      <c r="D35" s="15"/>
      <c r="E35" s="15"/>
      <c r="F35" s="15"/>
      <c r="G35" s="15"/>
      <c r="H35" s="15"/>
      <c r="I35" s="15"/>
      <c r="J35" s="66" t="s">
        <v>97</v>
      </c>
      <c r="K35" s="66"/>
      <c r="L35" s="71">
        <v>0.18</v>
      </c>
      <c r="M35" s="71"/>
      <c r="N35" s="15"/>
      <c r="O35" s="70"/>
      <c r="P35" s="70"/>
      <c r="Q35" s="70"/>
      <c r="R35" s="70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6.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66" t="s">
        <v>98</v>
      </c>
      <c r="K36" s="66"/>
      <c r="L36" s="72">
        <v>0</v>
      </c>
      <c r="M36" s="72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6.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73" t="s">
        <v>99</v>
      </c>
      <c r="K37" s="73"/>
      <c r="L37" s="74">
        <v>0.18</v>
      </c>
      <c r="M37" s="74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6.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6.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</sheetData>
  <sheetProtection password="C784" sheet="1"/>
  <mergeCells count="76">
    <mergeCell ref="J36:K36"/>
    <mergeCell ref="L36:M36"/>
    <mergeCell ref="J37:K37"/>
    <mergeCell ref="L37:M37"/>
    <mergeCell ref="J31:K31"/>
    <mergeCell ref="J32:K32"/>
    <mergeCell ref="O32:R32"/>
    <mergeCell ref="J33:K33"/>
    <mergeCell ref="O33:R35"/>
    <mergeCell ref="J34:M34"/>
    <mergeCell ref="J35:K35"/>
    <mergeCell ref="L35:M35"/>
    <mergeCell ref="J28:L28"/>
    <mergeCell ref="O28:Q28"/>
    <mergeCell ref="O29:Q29"/>
    <mergeCell ref="J30:M30"/>
    <mergeCell ref="O30:Q30"/>
    <mergeCell ref="J25:L25"/>
    <mergeCell ref="O25:Q25"/>
    <mergeCell ref="J26:L26"/>
    <mergeCell ref="B27:D27"/>
    <mergeCell ref="F27:H27"/>
    <mergeCell ref="J27:L27"/>
    <mergeCell ref="O27:R27"/>
    <mergeCell ref="F23:G24"/>
    <mergeCell ref="H23:H24"/>
    <mergeCell ref="O23:R23"/>
    <mergeCell ref="J24:M24"/>
    <mergeCell ref="O24:Q24"/>
    <mergeCell ref="J20:K20"/>
    <mergeCell ref="O20:Q20"/>
    <mergeCell ref="J21:K21"/>
    <mergeCell ref="O21:Q21"/>
    <mergeCell ref="B22:D22"/>
    <mergeCell ref="F22:H22"/>
    <mergeCell ref="J22:K22"/>
    <mergeCell ref="J16:K16"/>
    <mergeCell ref="O16:R16"/>
    <mergeCell ref="J18:K18"/>
    <mergeCell ref="O18:R18"/>
    <mergeCell ref="J19:K19"/>
    <mergeCell ref="O19:Q19"/>
    <mergeCell ref="J14:K14"/>
    <mergeCell ref="O14:R14"/>
    <mergeCell ref="B15:D15"/>
    <mergeCell ref="F15:H15"/>
    <mergeCell ref="J15:K15"/>
    <mergeCell ref="O15:R15"/>
    <mergeCell ref="O11:R11"/>
    <mergeCell ref="C12:D12"/>
    <mergeCell ref="J12:K12"/>
    <mergeCell ref="O12:R12"/>
    <mergeCell ref="J13:K13"/>
    <mergeCell ref="C10:D10"/>
    <mergeCell ref="F10:F13"/>
    <mergeCell ref="G10:H13"/>
    <mergeCell ref="J10:K10"/>
    <mergeCell ref="C11:D11"/>
    <mergeCell ref="J11:K11"/>
    <mergeCell ref="G8:H8"/>
    <mergeCell ref="O8:R8"/>
    <mergeCell ref="B9:D9"/>
    <mergeCell ref="G9:H9"/>
    <mergeCell ref="O9:R9"/>
    <mergeCell ref="C6:D6"/>
    <mergeCell ref="G6:H6"/>
    <mergeCell ref="O6:R6"/>
    <mergeCell ref="C7:D7"/>
    <mergeCell ref="G7:H7"/>
    <mergeCell ref="O7:R7"/>
    <mergeCell ref="J3:M3"/>
    <mergeCell ref="O3:R3"/>
    <mergeCell ref="B5:D5"/>
    <mergeCell ref="F5:H5"/>
    <mergeCell ref="J5:K5"/>
    <mergeCell ref="O5:R5"/>
  </mergeCells>
  <conditionalFormatting sqref="K8">
    <cfRule type="cellIs" dxfId="3" priority="2" operator="equal">
      <formula>"YES"</formula>
    </cfRule>
    <cfRule type="cellIs" dxfId="2" priority="3" operator="equal">
      <formula>"NO"</formula>
    </cfRule>
  </conditionalFormatting>
  <conditionalFormatting sqref="O6:O9">
    <cfRule type="expression" dxfId="1" priority="4">
      <formula>LEFT(O6,3)="***"</formula>
    </cfRule>
  </conditionalFormatting>
  <conditionalFormatting sqref="O15:O16">
    <cfRule type="expression" dxfId="0" priority="5">
      <formula>LEFT(O15,3)="***"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Lists!$A$1:$A$2</xm:f>
          </x14:formula1>
          <x14:formula2>
            <xm:f>0</xm:f>
          </x14:formula2>
          <xm:sqref>D23</xm:sqref>
        </x14:dataValidation>
        <x14:dataValidation type="list" xr:uid="{00000000-0002-0000-0000-000001000000}">
          <x14:formula1>
            <xm:f>Lists!$B$1:$B$2</xm:f>
          </x14:formula1>
          <x14:formula2>
            <xm:f>0</xm:f>
          </x14:formula2>
          <xm:sqref>H16</xm:sqref>
        </x14:dataValidation>
        <x14:dataValidation type="list" xr:uid="{00000000-0002-0000-0000-000002000000}">
          <x14:formula1>
            <xm:f>Lists!$C$1:$C$2</xm:f>
          </x14:formula1>
          <x14:formula2>
            <xm:f>0</xm:f>
          </x14:formula2>
          <xm:sqref>D31</xm:sqref>
        </x14:dataValidation>
        <x14:dataValidation type="list" xr:uid="{00000000-0002-0000-0000-000003000000}">
          <x14:formula1>
            <xm:f>Lists!$D$1:$D$4</xm:f>
          </x14:formula1>
          <x14:formula2>
            <xm:f>0</xm:f>
          </x14:formula2>
          <xm:sqref>D24</xm:sqref>
        </x14:dataValidation>
        <x14:dataValidation type="list" xr:uid="{00000000-0002-0000-0000-000004000000}">
          <x14:formula1>
            <xm:f>Lists!$F$1:$F$2</xm:f>
          </x14:formula1>
          <x14:formula2>
            <xm:f>0</xm:f>
          </x14:formula2>
          <xm:sqref>D25</xm:sqref>
        </x14:dataValidation>
        <x14:dataValidation type="list" xr:uid="{00000000-0002-0000-0000-000005000000}">
          <x14:formula1>
            <xm:f>Lists!$H$1:$H$4</xm:f>
          </x14:formula1>
          <x14:formula2>
            <xm:f>0</xm:f>
          </x14:formula2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zoomScaleNormal="100" workbookViewId="0"/>
  </sheetViews>
  <sheetFormatPr baseColWidth="10" defaultColWidth="8.6640625" defaultRowHeight="15" x14ac:dyDescent="0.2"/>
  <sheetData>
    <row r="1" spans="1:9" x14ac:dyDescent="0.2">
      <c r="A1" t="s">
        <v>100</v>
      </c>
      <c r="B1" t="s">
        <v>43</v>
      </c>
      <c r="C1" t="s">
        <v>101</v>
      </c>
      <c r="D1" t="s">
        <v>67</v>
      </c>
      <c r="E1">
        <v>1</v>
      </c>
      <c r="F1" t="s">
        <v>70</v>
      </c>
      <c r="G1">
        <v>40</v>
      </c>
      <c r="H1" t="s">
        <v>35</v>
      </c>
      <c r="I1">
        <v>0</v>
      </c>
    </row>
    <row r="2" spans="1:9" x14ac:dyDescent="0.2">
      <c r="A2" t="s">
        <v>63</v>
      </c>
      <c r="B2" t="s">
        <v>102</v>
      </c>
      <c r="C2" t="s">
        <v>86</v>
      </c>
      <c r="D2" t="s">
        <v>103</v>
      </c>
      <c r="E2">
        <v>1.25</v>
      </c>
      <c r="F2" t="s">
        <v>104</v>
      </c>
      <c r="G2">
        <v>48</v>
      </c>
      <c r="H2" t="s">
        <v>105</v>
      </c>
      <c r="I2">
        <v>500</v>
      </c>
    </row>
    <row r="3" spans="1:9" x14ac:dyDescent="0.2">
      <c r="D3" t="s">
        <v>106</v>
      </c>
      <c r="E3">
        <v>1.3</v>
      </c>
      <c r="H3" t="s">
        <v>107</v>
      </c>
      <c r="I3">
        <v>1200</v>
      </c>
    </row>
    <row r="4" spans="1:9" x14ac:dyDescent="0.2">
      <c r="D4" t="s">
        <v>108</v>
      </c>
      <c r="E4">
        <v>1.5</v>
      </c>
      <c r="H4" t="s">
        <v>109</v>
      </c>
      <c r="I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110" customWidth="1"/>
  </cols>
  <sheetData>
    <row r="2" spans="2:3" ht="19" x14ac:dyDescent="0.25">
      <c r="B2" s="52" t="s">
        <v>110</v>
      </c>
    </row>
    <row r="3" spans="2:3" x14ac:dyDescent="0.2">
      <c r="B3" s="53" t="s">
        <v>111</v>
      </c>
    </row>
    <row r="5" spans="2:3" x14ac:dyDescent="0.2">
      <c r="B5" s="54" t="s">
        <v>112</v>
      </c>
      <c r="C5" s="54" t="s">
        <v>113</v>
      </c>
    </row>
    <row r="6" spans="2:3" ht="16" x14ac:dyDescent="0.2">
      <c r="B6" s="55" t="s">
        <v>114</v>
      </c>
      <c r="C6" s="56" t="s">
        <v>115</v>
      </c>
    </row>
    <row r="7" spans="2:3" ht="16" x14ac:dyDescent="0.2">
      <c r="B7" s="55" t="s">
        <v>116</v>
      </c>
      <c r="C7" s="56" t="s">
        <v>117</v>
      </c>
    </row>
    <row r="8" spans="2:3" ht="16" x14ac:dyDescent="0.2">
      <c r="B8" s="55" t="s">
        <v>118</v>
      </c>
      <c r="C8" s="56" t="s">
        <v>119</v>
      </c>
    </row>
    <row r="9" spans="2:3" ht="16" x14ac:dyDescent="0.2">
      <c r="B9" s="55" t="s">
        <v>120</v>
      </c>
      <c r="C9" s="56" t="s">
        <v>121</v>
      </c>
    </row>
    <row r="10" spans="2:3" ht="16" x14ac:dyDescent="0.2">
      <c r="B10" s="55" t="s">
        <v>122</v>
      </c>
      <c r="C10" s="56" t="s">
        <v>123</v>
      </c>
    </row>
    <row r="11" spans="2:3" ht="16" x14ac:dyDescent="0.2">
      <c r="B11" s="55" t="s">
        <v>124</v>
      </c>
      <c r="C11" s="56" t="s">
        <v>125</v>
      </c>
    </row>
    <row r="12" spans="2:3" ht="16" x14ac:dyDescent="0.2">
      <c r="B12" s="55" t="s">
        <v>126</v>
      </c>
      <c r="C12" s="56" t="s">
        <v>127</v>
      </c>
    </row>
    <row r="13" spans="2:3" ht="16" x14ac:dyDescent="0.2">
      <c r="B13" s="55" t="s">
        <v>128</v>
      </c>
      <c r="C13" s="56" t="s">
        <v>129</v>
      </c>
    </row>
    <row r="14" spans="2:3" ht="16" x14ac:dyDescent="0.2">
      <c r="B14" s="55" t="s">
        <v>130</v>
      </c>
      <c r="C14" s="56" t="s">
        <v>131</v>
      </c>
    </row>
    <row r="15" spans="2:3" ht="16" x14ac:dyDescent="0.2">
      <c r="B15" s="55" t="s">
        <v>132</v>
      </c>
      <c r="C15" s="56" t="s">
        <v>133</v>
      </c>
    </row>
    <row r="16" spans="2:3" ht="16" x14ac:dyDescent="0.2">
      <c r="B16" s="55" t="s">
        <v>134</v>
      </c>
      <c r="C16" s="56" t="s">
        <v>135</v>
      </c>
    </row>
    <row r="17" spans="2:3" ht="16" x14ac:dyDescent="0.2">
      <c r="B17" s="55" t="s">
        <v>136</v>
      </c>
      <c r="C17" s="56" t="s">
        <v>137</v>
      </c>
    </row>
    <row r="19" spans="2:3" ht="16" x14ac:dyDescent="0.2">
      <c r="B19" s="57" t="s">
        <v>138</v>
      </c>
    </row>
    <row r="20" spans="2:3" ht="32" x14ac:dyDescent="0.2">
      <c r="C20" s="56" t="s">
        <v>139</v>
      </c>
    </row>
    <row r="21" spans="2:3" ht="32" x14ac:dyDescent="0.2">
      <c r="C21" s="56" t="s">
        <v>140</v>
      </c>
    </row>
    <row r="22" spans="2:3" ht="16" x14ac:dyDescent="0.2">
      <c r="C22" s="56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1"/>
  <sheetViews>
    <sheetView showGridLines="0" zoomScaleNormal="100" workbookViewId="0"/>
  </sheetViews>
  <sheetFormatPr baseColWidth="10" defaultColWidth="8.6640625" defaultRowHeight="15" x14ac:dyDescent="0.2"/>
  <cols>
    <col min="1" max="1" width="140" customWidth="1"/>
  </cols>
  <sheetData>
    <row r="1" spans="1:1" x14ac:dyDescent="0.2">
      <c r="A1" s="58" t="s">
        <v>142</v>
      </c>
    </row>
    <row r="3" spans="1:1" x14ac:dyDescent="0.2">
      <c r="A3" s="59" t="s">
        <v>143</v>
      </c>
    </row>
    <row r="4" spans="1:1" x14ac:dyDescent="0.2">
      <c r="A4" s="60" t="s">
        <v>144</v>
      </c>
    </row>
    <row r="5" spans="1:1" x14ac:dyDescent="0.2">
      <c r="A5" s="60" t="s">
        <v>145</v>
      </c>
    </row>
    <row r="6" spans="1:1" x14ac:dyDescent="0.2">
      <c r="A6" s="60" t="s">
        <v>146</v>
      </c>
    </row>
    <row r="7" spans="1:1" x14ac:dyDescent="0.2">
      <c r="A7" s="60"/>
    </row>
    <row r="8" spans="1:1" x14ac:dyDescent="0.2">
      <c r="A8" s="60" t="s">
        <v>147</v>
      </c>
    </row>
    <row r="9" spans="1:1" x14ac:dyDescent="0.2">
      <c r="A9" s="60" t="s">
        <v>148</v>
      </c>
    </row>
    <row r="10" spans="1:1" x14ac:dyDescent="0.2">
      <c r="A10" s="60" t="s">
        <v>149</v>
      </c>
    </row>
    <row r="11" spans="1:1" x14ac:dyDescent="0.2">
      <c r="A11" s="60" t="s">
        <v>150</v>
      </c>
    </row>
    <row r="12" spans="1:1" x14ac:dyDescent="0.2">
      <c r="A12" s="60" t="s">
        <v>151</v>
      </c>
    </row>
    <row r="13" spans="1:1" x14ac:dyDescent="0.2">
      <c r="A13" s="59" t="s">
        <v>152</v>
      </c>
    </row>
    <row r="14" spans="1:1" x14ac:dyDescent="0.2">
      <c r="A14" s="60" t="s">
        <v>153</v>
      </c>
    </row>
    <row r="15" spans="1:1" x14ac:dyDescent="0.2">
      <c r="A15" s="60" t="s">
        <v>154</v>
      </c>
    </row>
    <row r="16" spans="1:1" x14ac:dyDescent="0.2">
      <c r="A16" s="60" t="s">
        <v>155</v>
      </c>
    </row>
    <row r="17" spans="1:1" x14ac:dyDescent="0.2">
      <c r="A17" s="60" t="s">
        <v>156</v>
      </c>
    </row>
    <row r="18" spans="1:1" x14ac:dyDescent="0.2">
      <c r="A18" s="60" t="s">
        <v>157</v>
      </c>
    </row>
    <row r="19" spans="1:1" x14ac:dyDescent="0.2">
      <c r="A19" s="60" t="s">
        <v>158</v>
      </c>
    </row>
    <row r="20" spans="1:1" x14ac:dyDescent="0.2">
      <c r="A20" s="59" t="s">
        <v>159</v>
      </c>
    </row>
    <row r="21" spans="1:1" x14ac:dyDescent="0.2">
      <c r="A21" s="60" t="s">
        <v>160</v>
      </c>
    </row>
    <row r="22" spans="1:1" x14ac:dyDescent="0.2">
      <c r="A22" s="60" t="s">
        <v>161</v>
      </c>
    </row>
    <row r="23" spans="1:1" x14ac:dyDescent="0.2">
      <c r="A23" s="60" t="s">
        <v>162</v>
      </c>
    </row>
    <row r="24" spans="1:1" x14ac:dyDescent="0.2">
      <c r="A24" s="60" t="s">
        <v>163</v>
      </c>
    </row>
    <row r="25" spans="1:1" x14ac:dyDescent="0.2">
      <c r="A25" s="60" t="s">
        <v>164</v>
      </c>
    </row>
    <row r="26" spans="1:1" x14ac:dyDescent="0.2">
      <c r="A26" s="59" t="s">
        <v>165</v>
      </c>
    </row>
    <row r="27" spans="1:1" x14ac:dyDescent="0.2">
      <c r="A27" s="60" t="s">
        <v>166</v>
      </c>
    </row>
    <row r="28" spans="1:1" x14ac:dyDescent="0.2">
      <c r="A28" s="60" t="s">
        <v>167</v>
      </c>
    </row>
    <row r="29" spans="1:1" x14ac:dyDescent="0.2">
      <c r="A29" s="60" t="s">
        <v>168</v>
      </c>
    </row>
    <row r="30" spans="1:1" x14ac:dyDescent="0.2">
      <c r="A30" s="60" t="s">
        <v>169</v>
      </c>
    </row>
    <row r="31" spans="1:1" x14ac:dyDescent="0.2">
      <c r="A31" s="60" t="s">
        <v>170</v>
      </c>
    </row>
    <row r="32" spans="1:1" x14ac:dyDescent="0.2">
      <c r="A32" s="60" t="s">
        <v>171</v>
      </c>
    </row>
    <row r="33" spans="1:1" x14ac:dyDescent="0.2">
      <c r="A33" s="59" t="s">
        <v>172</v>
      </c>
    </row>
    <row r="34" spans="1:1" x14ac:dyDescent="0.2">
      <c r="A34" s="60" t="s">
        <v>173</v>
      </c>
    </row>
    <row r="35" spans="1:1" x14ac:dyDescent="0.2">
      <c r="A35" s="60" t="s">
        <v>174</v>
      </c>
    </row>
    <row r="36" spans="1:1" x14ac:dyDescent="0.2">
      <c r="A36" s="60" t="s">
        <v>175</v>
      </c>
    </row>
    <row r="37" spans="1:1" x14ac:dyDescent="0.2">
      <c r="A37" s="60" t="s">
        <v>176</v>
      </c>
    </row>
    <row r="38" spans="1:1" x14ac:dyDescent="0.2">
      <c r="A38" s="59" t="s">
        <v>177</v>
      </c>
    </row>
    <row r="39" spans="1:1" x14ac:dyDescent="0.2">
      <c r="A39" s="60" t="s">
        <v>178</v>
      </c>
    </row>
    <row r="40" spans="1:1" x14ac:dyDescent="0.2">
      <c r="A40" s="60" t="s">
        <v>179</v>
      </c>
    </row>
    <row r="41" spans="1:1" x14ac:dyDescent="0.2">
      <c r="A41" s="60" t="s">
        <v>180</v>
      </c>
    </row>
    <row r="42" spans="1:1" x14ac:dyDescent="0.2">
      <c r="A42" s="60" t="s">
        <v>181</v>
      </c>
    </row>
    <row r="43" spans="1:1" x14ac:dyDescent="0.2">
      <c r="A43" s="60" t="s">
        <v>182</v>
      </c>
    </row>
    <row r="44" spans="1:1" x14ac:dyDescent="0.2">
      <c r="A44" s="59" t="s">
        <v>183</v>
      </c>
    </row>
    <row r="45" spans="1:1" x14ac:dyDescent="0.2">
      <c r="A45" s="60" t="s">
        <v>184</v>
      </c>
    </row>
    <row r="46" spans="1:1" x14ac:dyDescent="0.2">
      <c r="A46" s="60" t="s">
        <v>185</v>
      </c>
    </row>
    <row r="47" spans="1:1" x14ac:dyDescent="0.2">
      <c r="A47" s="60" t="s">
        <v>186</v>
      </c>
    </row>
    <row r="48" spans="1:1" x14ac:dyDescent="0.2">
      <c r="A48" s="60" t="s">
        <v>187</v>
      </c>
    </row>
    <row r="49" spans="1:1" x14ac:dyDescent="0.2">
      <c r="A49" s="60" t="s">
        <v>188</v>
      </c>
    </row>
    <row r="50" spans="1:1" x14ac:dyDescent="0.2">
      <c r="A50" s="60"/>
    </row>
    <row r="51" spans="1:1" x14ac:dyDescent="0.2">
      <c r="A51" s="60" t="s">
        <v>189</v>
      </c>
    </row>
    <row r="52" spans="1:1" x14ac:dyDescent="0.2">
      <c r="A52" s="60" t="s">
        <v>190</v>
      </c>
    </row>
    <row r="53" spans="1:1" x14ac:dyDescent="0.2">
      <c r="A53" s="60" t="s">
        <v>149</v>
      </c>
    </row>
    <row r="54" spans="1:1" x14ac:dyDescent="0.2">
      <c r="A54" s="60" t="s">
        <v>191</v>
      </c>
    </row>
    <row r="55" spans="1:1" x14ac:dyDescent="0.2">
      <c r="A55" s="60" t="s">
        <v>192</v>
      </c>
    </row>
    <row r="56" spans="1:1" x14ac:dyDescent="0.2">
      <c r="A56" s="60" t="s">
        <v>193</v>
      </c>
    </row>
    <row r="57" spans="1:1" x14ac:dyDescent="0.2">
      <c r="A57" s="60" t="s">
        <v>194</v>
      </c>
    </row>
    <row r="58" spans="1:1" x14ac:dyDescent="0.2">
      <c r="A58" s="60" t="s">
        <v>195</v>
      </c>
    </row>
    <row r="59" spans="1:1" x14ac:dyDescent="0.2">
      <c r="A59" s="60" t="s">
        <v>196</v>
      </c>
    </row>
    <row r="60" spans="1:1" x14ac:dyDescent="0.2">
      <c r="A60" s="60" t="s">
        <v>197</v>
      </c>
    </row>
    <row r="61" spans="1:1" x14ac:dyDescent="0.2">
      <c r="A61" s="60" t="s">
        <v>188</v>
      </c>
    </row>
  </sheetData>
  <sheetProtection password="C784"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Pay Package - Rate Calculator</vt:lpstr>
      <vt:lpstr>Lists</vt:lpstr>
      <vt:lpstr>Macro Setup</vt:lpstr>
      <vt:lpstr>Macro Code</vt:lpstr>
      <vt:lpstr>'Pay Package - Rate Calculator'!Print_Area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Prashant Tyagi</cp:lastModifiedBy>
  <cp:revision>0</cp:revision>
  <dcterms:created xsi:type="dcterms:W3CDTF">2026-10-05T18:45:31Z</dcterms:created>
  <dcterms:modified xsi:type="dcterms:W3CDTF">2026-10-05T18:59:18Z</dcterms:modified>
  <dc:language>en-US</dc:language>
</cp:coreProperties>
</file>